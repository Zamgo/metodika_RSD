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liftrock.sharepoint.com/sites/BIMServices/Sdilene dokumenty/General/01_Zakázky/ZAK_2023_060 ŘSD Plzeň CDE koordinátor/knowledge_base/00_Podklady/"/>
    </mc:Choice>
  </mc:AlternateContent>
  <xr:revisionPtr revIDLastSave="5" documentId="13_ncr:1_{5C6F32C8-4E3D-45C0-87AA-D7E4713AA19C}" xr6:coauthVersionLast="47" xr6:coauthVersionMax="47" xr10:uidLastSave="{95828504-8D12-444D-81E5-868D3287F80B}"/>
  <bookViews>
    <workbookView xWindow="28680" yWindow="-120" windowWidth="29040" windowHeight="15720" xr2:uid="{00000000-000D-0000-FFFF-FFFF00000000}"/>
  </bookViews>
  <sheets>
    <sheet name="Matice přiřazení mgmt inf" sheetId="1" r:id="rId1"/>
  </sheets>
  <definedNames>
    <definedName name="_xlnm._FilterDatabase" localSheetId="0" hidden="1">'Matice přiřazení mgmt inf'!$A$5:$Y$186</definedName>
    <definedName name="_xlnm.Print_Titles" localSheetId="0">'Matice přiřazení mgmt inf'!$5:$5</definedName>
    <definedName name="_xlnm.Print_Area" localSheetId="0">'Matice přiřazení mgmt inf'!$A$1:$Y$186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3" i="1"/>
  <c r="F2" i="1"/>
  <c r="F1" i="1"/>
  <c r="L2" i="1"/>
  <c r="L1" i="1"/>
  <c r="Z4" i="1"/>
  <c r="Y4" i="1"/>
  <c r="Z3" i="1"/>
  <c r="Y3" i="1"/>
  <c r="X4" i="1"/>
  <c r="W4" i="1"/>
  <c r="V4" i="1"/>
  <c r="U4" i="1"/>
  <c r="T4" i="1"/>
  <c r="S4" i="1"/>
  <c r="R4" i="1"/>
  <c r="Q4" i="1"/>
  <c r="P4" i="1"/>
  <c r="X3" i="1"/>
  <c r="W3" i="1"/>
  <c r="V3" i="1"/>
  <c r="U3" i="1"/>
  <c r="T3" i="1"/>
  <c r="S3" i="1"/>
  <c r="R3" i="1"/>
  <c r="Q3" i="1"/>
  <c r="P3" i="1"/>
  <c r="G3" i="1"/>
  <c r="I3" i="1"/>
  <c r="J3" i="1"/>
  <c r="K3" i="1"/>
  <c r="L3" i="1"/>
  <c r="M3" i="1"/>
  <c r="N3" i="1"/>
  <c r="O3" i="1"/>
  <c r="G4" i="1"/>
  <c r="I4" i="1"/>
  <c r="J4" i="1"/>
  <c r="K4" i="1"/>
  <c r="L4" i="1"/>
  <c r="M4" i="1"/>
  <c r="N4" i="1"/>
  <c r="O4" i="1"/>
  <c r="H4" i="1"/>
  <c r="H3" i="1"/>
  <c r="Z2" i="1"/>
  <c r="Z1" i="1"/>
  <c r="X2" i="1"/>
  <c r="X1" i="1"/>
  <c r="U2" i="1"/>
  <c r="U1" i="1"/>
  <c r="S2" i="1"/>
  <c r="S1" i="1"/>
  <c r="Q2" i="1"/>
  <c r="Q1" i="1"/>
  <c r="I2" i="1"/>
  <c r="I1" i="1"/>
  <c r="G2" i="1"/>
  <c r="G1" i="1"/>
  <c r="W2" i="1"/>
  <c r="W1" i="1"/>
  <c r="Y2" i="1"/>
  <c r="V2" i="1"/>
  <c r="R2" i="1"/>
  <c r="P2" i="1"/>
  <c r="O2" i="1"/>
  <c r="M2" i="1"/>
  <c r="K2" i="1"/>
  <c r="J2" i="1"/>
  <c r="N2" i="1"/>
  <c r="H2" i="1"/>
  <c r="Y1" i="1"/>
  <c r="V1" i="1"/>
  <c r="R1" i="1"/>
  <c r="P1" i="1"/>
  <c r="O1" i="1"/>
  <c r="M1" i="1"/>
  <c r="K1" i="1"/>
  <c r="J1" i="1"/>
  <c r="N1" i="1"/>
  <c r="H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tc={17E9333C-59DC-40A7-8224-76F32F04AD1D}</author>
    <author>tc={F2F1AE31-D41C-4F3D-BB3F-F31EEC07AFD5}</author>
    <author>tc={857953BA-D79C-4D94-88D0-00CEC9F2B6B5}</author>
    <author>tc={0BE519CF-B024-46B1-8C7B-C0860BE15B9E}</author>
    <author>tc={05066C7A-2F2F-47A2-9F02-DD82BFB2BCBD}</author>
    <author>tc={A41E4B98-68B5-44E9-A274-9187AB588126}</author>
  </authors>
  <commentList>
    <comment ref="G5" authorId="0" shapeId="0" xr:uid="{17E9333C-59DC-40A7-8224-76F32F04AD1D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Projektový manažer nebo projektový manažer BIM?</t>
      </text>
    </comment>
    <comment ref="P5" authorId="1" shapeId="0" xr:uid="{F2F1AE31-D41C-4F3D-BB3F-F31EEC07AFD5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Má to být HIP?</t>
      </text>
    </comment>
    <comment ref="W5" authorId="2" shapeId="0" xr:uid="{857953BA-D79C-4D94-88D0-00CEC9F2B6B5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Vedoucí modelář BIM?</t>
      </text>
    </comment>
    <comment ref="A6" authorId="3" shapeId="0" xr:uid="{0BE519CF-B024-46B1-8C7B-C0860BE15B9E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Tučně je to, co už jsem zvalidoval</t>
      </text>
    </comment>
    <comment ref="B49" authorId="4" shapeId="0" xr:uid="{05066C7A-2F2F-47A2-9F02-DD82BFB2BCBD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Tady by mě zajímalo, jak k tomu přistupujete</t>
      </text>
    </comment>
    <comment ref="B50" authorId="5" shapeId="0" xr:uid="{A41E4B98-68B5-44E9-A274-9187AB588126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Co to vlastně přesně znamená?</t>
      </text>
    </comment>
  </commentList>
</comments>
</file>

<file path=xl/sharedStrings.xml><?xml version="1.0" encoding="utf-8"?>
<sst xmlns="http://schemas.openxmlformats.org/spreadsheetml/2006/main" count="1580" uniqueCount="781">
  <si>
    <t>I - Informed - o řešení a průběhu prací je informován;</t>
  </si>
  <si>
    <t>C - Consulted - řešení je s ním konzultováno;</t>
  </si>
  <si>
    <t>A - Accountable - osoba odpovědná za úkol jako celek. Někdy též ve variantě "Approver";</t>
  </si>
  <si>
    <t>R – Responsible (does the job) - úkol sám nebo ve spolupráci vykonává;</t>
  </si>
  <si>
    <t>ID</t>
  </si>
  <si>
    <t>úkol/aktivita</t>
  </si>
  <si>
    <t>Zdroj</t>
  </si>
  <si>
    <t>Projektový manažer / technik</t>
  </si>
  <si>
    <t>Projektový manažér (pověřující strana)</t>
  </si>
  <si>
    <t>Projektový manažer BIM</t>
  </si>
  <si>
    <t>Manažér BIM (pověřující strana)</t>
  </si>
  <si>
    <t>Koordinátor BIM objednatele</t>
  </si>
  <si>
    <t>Administrátor CDE</t>
  </si>
  <si>
    <t>Správce projektového CDE (projektový tým)</t>
  </si>
  <si>
    <t>Správce informací</t>
  </si>
  <si>
    <t>Provozní manažer BIM</t>
  </si>
  <si>
    <t>Třetí strana objednatele</t>
  </si>
  <si>
    <t>HIP / Manažer BIM dodavatele</t>
  </si>
  <si>
    <t>Projektový manažér (vedoucí pověřená strana) (HIP)</t>
  </si>
  <si>
    <t>Vedoucí koordinátor BIM</t>
  </si>
  <si>
    <t>Koordinátor BIM (vedoucí pověřená strana)</t>
  </si>
  <si>
    <t>Správce distribuovaného CDE</t>
  </si>
  <si>
    <t>Správce distribuovaného CDE (realizační tým)</t>
  </si>
  <si>
    <t>Třetí strana vedoucí pověřené strany</t>
  </si>
  <si>
    <t>Koordinátor BIM</t>
  </si>
  <si>
    <t>Vedoucí modelář BIM (pověřená strana)</t>
  </si>
  <si>
    <t>Modelář BIM</t>
  </si>
  <si>
    <t>Modelář BIM (pověřená strana)</t>
  </si>
  <si>
    <t>1</t>
  </si>
  <si>
    <t>Proces managementu informací - posouzení a zohlednění potřeb</t>
  </si>
  <si>
    <t xml:space="preserve">Proces managementu informací – Posouzení a zohlednění potřeb </t>
  </si>
  <si>
    <t>Proces správy informací - posouzení a potřeba</t>
  </si>
  <si>
    <t>ISO 19650-2; 5.1
ISO 19560-5</t>
  </si>
  <si>
    <t>1.1</t>
  </si>
  <si>
    <t>Pověření jednotlivců k plnění funkcí při managementu informací</t>
  </si>
  <si>
    <t>Jmenování osob, které budou vykonávat funkci správy informací</t>
  </si>
  <si>
    <t>ISO 19650-2; 5.1.1</t>
  </si>
  <si>
    <t>R</t>
  </si>
  <si>
    <t xml:space="preserve">1.1.1 </t>
  </si>
  <si>
    <t>Pověřit jednotlivce k plnění funkcí při managementu informací</t>
  </si>
  <si>
    <t>Jmenování osob, které budou vykonávat funkci správy informací.</t>
  </si>
  <si>
    <t>A/R</t>
  </si>
  <si>
    <t xml:space="preserve">1.1.2 </t>
  </si>
  <si>
    <t>Stanovení rozsahu služeb pro funkci managementu informací (je-li pověřena třetí strana)</t>
  </si>
  <si>
    <t>Stanovit rozsah služeb pro funkci správy informací (v případě pověření třetí strany)</t>
  </si>
  <si>
    <t>Stanovení rozsahu služeb pro funkci správy informací.</t>
  </si>
  <si>
    <t xml:space="preserve">1.1.3 </t>
  </si>
  <si>
    <t>Stanovení úkolů, které mají být poskytovány v rámci rozsahu služeb (je-li pověřena třetí strana)</t>
  </si>
  <si>
    <t>Stanovit úkoly, které mají být poskytovány v rámci rozsahu služeb (v případě pověření třetí strany)</t>
  </si>
  <si>
    <t>Stanovení úkolů, které mají být poskytovány v rámci rozsahu služeb.</t>
  </si>
  <si>
    <t xml:space="preserve">1.1.4 </t>
  </si>
  <si>
    <t>Stanovení pravomocí, které pověřující strana deleguje na potenciální vedoucí pověřenou stranu nebo třetí stranu (jsou-li pravomoci delegovány)</t>
  </si>
  <si>
    <t>Stanovit pravomoce, které pověřující strana přenese na budoucí vedoucí pověřenou stranu nebo třetí stranu (v případě delegování pravomocí na budoucí vedoucí pověřenou stranu nebo třetí stranu)</t>
  </si>
  <si>
    <t xml:space="preserve">Stanovení pravomoci, které pověřující strana přenese na budoucí vedoucí pověřenou stranu. </t>
  </si>
  <si>
    <t xml:space="preserve">1.1.5 </t>
  </si>
  <si>
    <t>Stanovení kompetencí (znalostí nebo dovedností), které budou jednotlivci vykonávající roli potřebovat (bez ohledu na to, zda je delegována nebo ne)</t>
  </si>
  <si>
    <t>Stanovit kompetence (znalosti nebo dovednosti), které budou osoby vykonávající danou funkci potřebovat (platí bez ohledu na delegování či nedelegování)</t>
  </si>
  <si>
    <t>Stanovení kompetence (znalosti nebo dovednosti), které budou osoby vykonávající funkci potřebovat.</t>
  </si>
  <si>
    <t>1.2</t>
  </si>
  <si>
    <t>Stanovení potřeby bezpečnostně orientovného přístupu</t>
  </si>
  <si>
    <t>Stanovení potřeby přístupu zaměřeného na bezpečnost</t>
  </si>
  <si>
    <t>ISO 19650-5</t>
  </si>
  <si>
    <t xml:space="preserve">1.2.1 </t>
  </si>
  <si>
    <t>Určení rozsahu bezpečnostních rizik, která vznikají v důsledku větší dostupnosti informací, integrace služeb a systémů a zvýšené závislosti na technologických systémech</t>
  </si>
  <si>
    <t>Stanovení rozsahu bezpečnostních rizik, která vznikají v důsledku větší dostupnosti informací, integrace služeb a systémů a zvýšené závislosti na technologických systémech.</t>
  </si>
  <si>
    <t>ISO 19650-5; 4.2</t>
  </si>
  <si>
    <t>A</t>
  </si>
  <si>
    <t>C</t>
  </si>
  <si>
    <t xml:space="preserve">1.2.2 </t>
  </si>
  <si>
    <t>Proces bezpečnostního třídění a zaznamenání jeho výsledku</t>
  </si>
  <si>
    <t>Provedení bezpečnostního třídění a zaznamenání jeho výsledku.</t>
  </si>
  <si>
    <t>ISO 19650-5; 4.7 and 4.8</t>
  </si>
  <si>
    <t xml:space="preserve">1.2.3 </t>
  </si>
  <si>
    <t>Pokud se uplatní: Vypracování a správa bezpečnostní strategie</t>
  </si>
  <si>
    <t>V případě potřeby: Vypracování a údržba bezpečnostní strategii.</t>
  </si>
  <si>
    <t>ISO 19650-5; 6</t>
  </si>
  <si>
    <t xml:space="preserve">1.2.4 </t>
  </si>
  <si>
    <t>Pokud se uplatní: Vypracování a správa plánu řízení bezpečnosti</t>
  </si>
  <si>
    <t>V případě potřeby: Vypracování a údržba plánu řízení bezpečnosti.</t>
  </si>
  <si>
    <t>ISO 19650-5; 7</t>
  </si>
  <si>
    <t>1.3</t>
  </si>
  <si>
    <t>Stanovení projektových požadavků na informace</t>
  </si>
  <si>
    <t>Stanovení projektových požadavků na informace (PIR)</t>
  </si>
  <si>
    <t>Stanovení požadavků na informace o projektu - PIR</t>
  </si>
  <si>
    <t>ISO 1965-2; 5.1.2</t>
  </si>
  <si>
    <t xml:space="preserve">1.3.1 </t>
  </si>
  <si>
    <t>Stanovit projektové požadavky na informace (PIR)</t>
  </si>
  <si>
    <t>Stanovení požadavků na informace o projektu.</t>
  </si>
  <si>
    <t>ISO 19650-2; 5.1.2</t>
  </si>
  <si>
    <t>1.4</t>
  </si>
  <si>
    <t>Stanovení projektových milníků pro předání informací</t>
  </si>
  <si>
    <t>Stanovení milníků pro poskytování informací v rámci projektu</t>
  </si>
  <si>
    <t>ISO 19650-2; 5.1.3</t>
  </si>
  <si>
    <t xml:space="preserve">1.4.1 </t>
  </si>
  <si>
    <t>Zajištění, aby do projektového harmonogramu byly zahrnuty projektové milníky pro předání informací</t>
  </si>
  <si>
    <t>Zajistit, aby projektové milníky pro předání informací byly uvedeny v zadání projektu</t>
  </si>
  <si>
    <t>Zajištění, aby byly milníky poskytování informací v rámci projektu zahrnuty do programu projektu.</t>
  </si>
  <si>
    <t>1.5</t>
  </si>
  <si>
    <t>Stanovení projektového informačního standardu</t>
  </si>
  <si>
    <t>Stanovení informačního standardu projektu</t>
  </si>
  <si>
    <t>ISO 1965-2; 5.1.4</t>
  </si>
  <si>
    <t>I</t>
  </si>
  <si>
    <t xml:space="preserve">1.5.1 </t>
  </si>
  <si>
    <t>Stanovení projektového informačního standardu a (v případě potřeby) ověření souladu s plánem řízení bezpečnosti</t>
  </si>
  <si>
    <t>Stanovit projektový informační standard a (v případě potřeby) revidovat plán managementu bezpečnosti</t>
  </si>
  <si>
    <t>Stanovení informačního standardu projektu a (případně) přezkoumání plánu řízení bezpečnosti.</t>
  </si>
  <si>
    <t>ISO 19650-2; 5.1.4</t>
  </si>
  <si>
    <t>1.6</t>
  </si>
  <si>
    <t>Stanovení projektových metod a postupů pro vytváření informací</t>
  </si>
  <si>
    <t>Stanovení metod a postupů tvorby informací v rámci projektu</t>
  </si>
  <si>
    <t>ISO 19650-2; 5.1.5</t>
  </si>
  <si>
    <t xml:space="preserve">1.6.1 </t>
  </si>
  <si>
    <t>Stanovení projektových metod a postupů pro vytváření projetktových informací a (v případě potřeby) ověření souladu s plánem řízení bezpečnosti</t>
  </si>
  <si>
    <t>Stanovit projektové metody a postupy pro vytváření informací a (v případě potřeby) revidovat plán managementu bezpečnosti</t>
  </si>
  <si>
    <t>Stanovení metody a postupu tvorby informací v rámci projektu a (případně) přezkoumání plánu řízení bezpečnosti.</t>
  </si>
  <si>
    <t>1.7</t>
  </si>
  <si>
    <t>Stanovení projektových referenčních infromací a sdílených zdrojů</t>
  </si>
  <si>
    <t>Stanovení projektových referenčních informací a sdílených zdrojů</t>
  </si>
  <si>
    <t>Stanovení referenčních informací a sdílených zdrojů projektu</t>
  </si>
  <si>
    <t>ISO 19650-2; 5.1.6</t>
  </si>
  <si>
    <t xml:space="preserve">1.7.1 </t>
  </si>
  <si>
    <t>Stanovit projektové referenční informace a sdílené zdroje</t>
  </si>
  <si>
    <t>Stanovení referenčních informací a sdílených zdrojů projektu.</t>
  </si>
  <si>
    <t>1.8</t>
  </si>
  <si>
    <t>Stanovení společného datového prostředí projektu</t>
  </si>
  <si>
    <t>Stanovení projektového společného datového prostředí (CDE)</t>
  </si>
  <si>
    <t>Založení společného datového prostředí projektu</t>
  </si>
  <si>
    <t>ISO 19650-2; 5.1.7
ISO 19650-5</t>
  </si>
  <si>
    <t xml:space="preserve">1.8.1 </t>
  </si>
  <si>
    <t>Zohlednění plánu řízení bezpečnosti (pokud se uplatní) v kontextu společného datového prostředí projektu</t>
  </si>
  <si>
    <t>Zohlednit plán managementu bezpečnosti (v případě potřeby) v kontextu projektového společného datového prostředí</t>
  </si>
  <si>
    <t>Zvažení plánu řízení bezpečnosti (je-li to relevantní) v kontextu společného datového prostředí projektu.</t>
  </si>
  <si>
    <t xml:space="preserve">1.8.2 </t>
  </si>
  <si>
    <t>Implementace projektového společného datového prostředí</t>
  </si>
  <si>
    <t>Implementovat projektové společné datové prostředí</t>
  </si>
  <si>
    <t>Implementace společného datové prostředí projektu.</t>
  </si>
  <si>
    <t>ISO 19650-2; 5.1.7</t>
  </si>
  <si>
    <t xml:space="preserve">1.8.3 </t>
  </si>
  <si>
    <t>Konfigurace společného datového prostředí projektu pro projekt</t>
  </si>
  <si>
    <t>Nastavit projektové společné datové prostředí pro projekt</t>
  </si>
  <si>
    <t>Konfigurace společného datového prostředí projektu.</t>
  </si>
  <si>
    <t>1.8.3.1</t>
  </si>
  <si>
    <t xml:space="preserve">Vytvoření složkové struktury projektu. </t>
  </si>
  <si>
    <t>1.8.3.2</t>
  </si>
  <si>
    <t xml:space="preserve">Nastavení syntaxe pojmenování souborů. </t>
  </si>
  <si>
    <t>1.8.3.3</t>
  </si>
  <si>
    <t xml:space="preserve">Správa přístupů členů projektu. </t>
  </si>
  <si>
    <t>1.8.3.4</t>
  </si>
  <si>
    <t xml:space="preserve">Nastavení schvalovacích workflows. </t>
  </si>
  <si>
    <t>1.8.3.5</t>
  </si>
  <si>
    <t xml:space="preserve">Propojení dokumentace s informačním modelem. </t>
  </si>
  <si>
    <t xml:space="preserve">1.8.4 </t>
  </si>
  <si>
    <t>Poskytovat podporu pro projektové společné datové prostředí</t>
  </si>
  <si>
    <t>Zajištění podpory společného datového prostředí projektu.</t>
  </si>
  <si>
    <t xml:space="preserve">1.8.5 </t>
  </si>
  <si>
    <t>Hostovat projektové společné datového prostředí</t>
  </si>
  <si>
    <t>Hostovat projektové společné datové prostředí</t>
  </si>
  <si>
    <t>Hostování společné datové prostředí projektu.</t>
  </si>
  <si>
    <t xml:space="preserve">1.8.6 </t>
  </si>
  <si>
    <t>Spravovat projektové společné datové prostředí</t>
  </si>
  <si>
    <t>Správa společné datové prostředí projektu.</t>
  </si>
  <si>
    <t xml:space="preserve">1.8.7 </t>
  </si>
  <si>
    <t>Poskytnout školení pro projektové společné datové prostředí</t>
  </si>
  <si>
    <t>Poskytování školení pro společné datové prostředí projektu.</t>
  </si>
  <si>
    <t>n/a</t>
  </si>
  <si>
    <t>1.9</t>
  </si>
  <si>
    <t>Stanovení projektového informačního protokolu (BIM protokolu)</t>
  </si>
  <si>
    <t>Stanovení projektového informačního protokolu</t>
  </si>
  <si>
    <t>Vytvoření informačního protokolu projektu - BIM protokol</t>
  </si>
  <si>
    <t>ISO 19650-2; 5.1.8</t>
  </si>
  <si>
    <t xml:space="preserve">1.9.1 </t>
  </si>
  <si>
    <t>Stanovit projektový informační protokol</t>
  </si>
  <si>
    <t>Vytvoření informačního protokolu projektu - BIM protokolu.</t>
  </si>
  <si>
    <t>ISO 19650-2, 5.1.8</t>
  </si>
  <si>
    <t xml:space="preserve">1.9.2 </t>
  </si>
  <si>
    <t>Doplnění specifických údajů do projektového informačního protokolu (pro daný projekt)</t>
  </si>
  <si>
    <t>Vyplnění údajů v informačním protokolu projektu - BIM protokolu.</t>
  </si>
  <si>
    <t>2</t>
  </si>
  <si>
    <t>Proces managementu informací - Výzva k podání nabídky</t>
  </si>
  <si>
    <t>Proces managementu informací – Výzva  k veřejné soutěži</t>
  </si>
  <si>
    <t>Proces správy informací - výzva k podání nabídky</t>
  </si>
  <si>
    <t>ISO 19650-2; 5.2
ISO 19560-5</t>
  </si>
  <si>
    <t>2.1</t>
  </si>
  <si>
    <t>Stanovení požadavků pověřující strany na výměnu informací</t>
  </si>
  <si>
    <t>Stanovení požadavků pověřující strany na výměnu informací (EIR)</t>
  </si>
  <si>
    <t>ISO 19650-2; 5.2.1</t>
  </si>
  <si>
    <t xml:space="preserve">2.1.1 </t>
  </si>
  <si>
    <t>Stanovení požadavků pověřující strany na výměnu informací a ověření souladu s plánem řízení bezpečnosti (pokud se uplatní)</t>
  </si>
  <si>
    <t>Stanovit požadavky pověřující strany na výměnu informací a (v případě potřeby) revidovat plán managementu bezpečnosti.</t>
  </si>
  <si>
    <t xml:space="preserve">Stanovení požadavků strany oprávněné k pověření na výměnu informací a přezkoumání plánu řízení bezpečnosti. </t>
  </si>
  <si>
    <t xml:space="preserve">2.1.2 </t>
  </si>
  <si>
    <t>Stanovení požadavků poveřující strany na informace, které budou muset být naplněny během pověření</t>
  </si>
  <si>
    <t>Stanovení požadavků pověřující strany na informace, které budou muset být naplněny v průběhu pověření.</t>
  </si>
  <si>
    <t>Stanovení požadavků pověřující strany na informace, které mají být doručeny během jmenování.</t>
  </si>
  <si>
    <t>ISO 19650-2; 5.2.1 a)</t>
  </si>
  <si>
    <t xml:space="preserve">2.1.3 </t>
  </si>
  <si>
    <t>Stanovení úrovně informačních potřeb požadovanou pro splnění jednotlivých požadavků na informace.</t>
  </si>
  <si>
    <t>Stanovení úrovně informační potřeby potřebné ke splnění každého informačního požadavku.</t>
  </si>
  <si>
    <t>ISO 19650-2; 5.2.1 b)</t>
  </si>
  <si>
    <t xml:space="preserve">2.1.4 </t>
  </si>
  <si>
    <t>Stanovení akceptačních kritérií pro každé jednotlivé požadavky na informace</t>
  </si>
  <si>
    <t>Stanovení akceptačních kritérií pro každé jednotlivé požadavky na informace.</t>
  </si>
  <si>
    <t>Stanovení kritérií přijatelnosti pro každý požadavek na informace.</t>
  </si>
  <si>
    <t>ISO 19650-2; 5.2.1 c)</t>
  </si>
  <si>
    <t xml:space="preserve">2.1.5 </t>
  </si>
  <si>
    <t>Stanovení podpůrných informací, které by potenciální vedoucí pověřená strana mohla potřebovat, pro plné porozumnění nebo vyhodnocení jednotlivých požadavků na informace nebo příslušných akceptačních kritérií pro přijetí</t>
  </si>
  <si>
    <t>Stanovení podpůrných informací, které by potenciální vedoucí pověřená strana mohla potřebovat pro plné porozumění nebo vyhodnocení jednotlivých požadavků na informace nebo příslušných akceptačních kritéri.</t>
  </si>
  <si>
    <t>Stanovení podpůrných informací, které by potenciální hlavní pověřená strana mohla potřebovat, aby plně pochopila nebo vyhodnotila každý informační požadavek nebo kritéria jeho přijetí.</t>
  </si>
  <si>
    <t>ISO 19650-2; 5.2.1 d)</t>
  </si>
  <si>
    <t xml:space="preserve">2.1.6 </t>
  </si>
  <si>
    <t>Stanovení kalendářních dat, ve vztahu k projektovým milníkům pro předání informací a k bodům klíčových rozhodnutí pověřující strany, kdy musí být každý jednotlivý požadavek splněn</t>
  </si>
  <si>
    <t>Stanovit kalendářní data, ve vztahu k projektovým milníkům pro předávání informací a k bodům klíčových rozhodnutí pověřující strany, kdy musí být každý jednotlivý požadavek splněn.</t>
  </si>
  <si>
    <t>Stanovení termínů, které se vztahují k milníkům poskytování informací v rámci projektu a klíčovým rozhodovacím bodům pověřující strany a která musí být splněna pro každý požadavek.</t>
  </si>
  <si>
    <t>ISO 19650-2; 5.2.1 e)</t>
  </si>
  <si>
    <t>2.2</t>
  </si>
  <si>
    <t>Shromáždění referenčních informací a sdílených zdrojů</t>
  </si>
  <si>
    <t>Shromáždování referenčních informací a sdílených zdrojů</t>
  </si>
  <si>
    <t>ISO 19650-2; 5.5.5</t>
  </si>
  <si>
    <t xml:space="preserve">2.2.1 </t>
  </si>
  <si>
    <t xml:space="preserve">Shromáždění referenčních informací nebo sdílených zdrojů, které má pověřující strana v úmyslu poskytnout budoucí vedoucí pověřené straně během procesu veřejné soutěže nebo pověření </t>
  </si>
  <si>
    <t>Shromáždění referenčních informací nebo sdílených zdrojů, které pověřující strana zamýšlí poskytnout potenciální vedoucí pověřené straně v průběhu procesu veřejné soutěže nebo v průběhu pověření.</t>
  </si>
  <si>
    <t>Shromážďování referenčních informací nebo sdílených zdrojů, které má pověřující strana v úmyslu poskytnout potenciální hlavní pověřené straně během výběrového řízení nebo jmenování.</t>
  </si>
  <si>
    <t>ISO 19650-2; 5.2.2</t>
  </si>
  <si>
    <t xml:space="preserve">2.2.2 </t>
  </si>
  <si>
    <t>Stanovení vhodnosti použití informací potenciální vedoucí pověřenou stranou přiřazením statusových kódů ke všem referenčním informacím a sdíleným zdrojům, které indikují, jak je lze použít</t>
  </si>
  <si>
    <t>Stanovení vhodnosti použití informací potenciálními vedoucími pověřenými stranami pomocí statusového kódu spojeného s každou referenční informací a sdíleným zdrojem, aby bylo zřejmé, k čemu je lze použít.</t>
  </si>
  <si>
    <t>Zjištění, zda jsou informace vhodné k tomu, aby je potenciální hlavní pověřená strana mohla použít, a to tak, že všem referenčním informacím a sdíleným zdrojům přidělíte příslušné stavové kódy, které označují, jak je lze použít.</t>
  </si>
  <si>
    <t xml:space="preserve">2.2.3 </t>
  </si>
  <si>
    <t>Zpřístupnění referenčních informací a sdílených zdrojů organizacím účastnícím se veřejné soutěže v zabezpečeném prostředí, jako je např. projektové společné datové prostředí</t>
  </si>
  <si>
    <t>Zpřístupnění referenčních informací a sdílených zdrojů organizacím účastnícím se veřejné soutěže v zabezpečeném prostředí, jako je např. projektové společné datové prostředí.</t>
  </si>
  <si>
    <t>Zpřístupnění referenčních informací a sdílených zdrojů organizacím, které podávají nabídky, v bezpečném prostředí, například ve společném datovém prostředí projektu.</t>
  </si>
  <si>
    <t>2.3</t>
  </si>
  <si>
    <t>Stanovení požadavků na odpověď na veřejnou soutěž a hodnotících kritérií</t>
  </si>
  <si>
    <t>Stanovení požadavků na odpověď na veřejnou soutěž a hodnoticích kritérií</t>
  </si>
  <si>
    <t>Stanovení požadavků na odpovědi na nabídky a kritérií hodnocení</t>
  </si>
  <si>
    <t>ISO 19650-2; 5.2.3</t>
  </si>
  <si>
    <t xml:space="preserve">2.3.1 </t>
  </si>
  <si>
    <t>Stanovení požadavků na odpovědi na výběrové řízení pomocí smlouvy o sdílení informací (podle potřeby)</t>
  </si>
  <si>
    <t>Stanovení požadavků na odpověď na veřejnou soutěž s dohodou o sdílení informací (podle potřeby)</t>
  </si>
  <si>
    <t>Stanovení požadavků na odpovědi na nabídky s dohodou o sdílení informací (v případě potřeby).</t>
  </si>
  <si>
    <t>ISO 19650-2; 5.2.3 and ISO 19650-5; 9.1.1</t>
  </si>
  <si>
    <t xml:space="preserve">2.3.2 </t>
  </si>
  <si>
    <t>Stanovení hodnotících kritérií, která se použijí k posouzení odpovědi na výběrové řízení</t>
  </si>
  <si>
    <t>Stanovení hodnoticích kritérií pro hodnocení odpovědí na veřejnou soutěž.</t>
  </si>
  <si>
    <t>Stanovení hodnotících kritérií, které se použijí pro posouzení odpovědi na nabídku.</t>
  </si>
  <si>
    <t>2.4</t>
  </si>
  <si>
    <t>Sestavení informací pro výzvu k veřejné soutěži</t>
  </si>
  <si>
    <t>Zpracování informací o nabídkovém řízení</t>
  </si>
  <si>
    <t>ISO 19650-2; 5.2.4</t>
  </si>
  <si>
    <t xml:space="preserve">2.4.1 </t>
  </si>
  <si>
    <t>Sestavení informací k zahrnutí do sestavy pro výzvu k veřejné soutěži, včetně:</t>
  </si>
  <si>
    <t>Sestavení informací, které mají být obsaženy v balíčku výzvy k podávání nabídek.</t>
  </si>
  <si>
    <t xml:space="preserve">2.4.2 </t>
  </si>
  <si>
    <t>Zajištění, aby požadavky pověřující strany na výměnu informací byly zahrnuty do sestavy pro výzvu k veřejné soutěži</t>
  </si>
  <si>
    <t>zajištění, že požadavky pověřující strany na výměnu informací jsou obsaženy v sestavě  pro výzvu k veřejné soutěži;</t>
  </si>
  <si>
    <t>Zajištění, aby byly do balíčku výzvy k podání nabídek zahrnuty požadavky strany oprávněné ke jmenování na výměnu informací.</t>
  </si>
  <si>
    <t xml:space="preserve">2.4.3 </t>
  </si>
  <si>
    <t>Zajištění, aby příslušné referenční informace a sdílené zdroje (v rámci společného datového prostředí projektu) byly zahrnuty do sestavy pro výzvu k veřejné soutěži</t>
  </si>
  <si>
    <t>zajištění, že relevantní referenční informace a sdílené zdroje (v rámci projektového společného datového prostředí) jsou obsaženy v sestavě pro výzvu k veřejné soutěži;</t>
  </si>
  <si>
    <t>Zajištění, aby byly do balíčku výzvy k podání nabídky zahrnuty příslušné referenční informace a sdílené zdroje (v rámci společného datového prostředí projektu).</t>
  </si>
  <si>
    <t xml:space="preserve">2.4.4 </t>
  </si>
  <si>
    <t>Zajištění, aby požadavky na odpověď na veřejnou soutež  a hodnotící kritéria byly zahrnuty do sestavy pro výzvu k veřejné soutěži</t>
  </si>
  <si>
    <t>zajištění, že požadavky na odpověď na veřejnou soutěž a hodnoticí kritéria (v příslušných případech) jsou obsaženy v sestavě pro výzvu k veřejné soutěži;</t>
  </si>
  <si>
    <t>Zajištění, aby požadavky na odpovědi na nabídku byly zahrnuty do balíčku výzvy k podání nabídek.</t>
  </si>
  <si>
    <t xml:space="preserve">2.4.5 </t>
  </si>
  <si>
    <t>Zajištění, aby projektové milníky pro předání informací byly zahrnuty do sestavy pro výzvu k veřejné soutěži</t>
  </si>
  <si>
    <t>zajištění, že projektové milníky pro předání informací|projektové milníky pro předání informací jsou obsaženy v sestavě pro výzvu k veřejné soutěži;</t>
  </si>
  <si>
    <t>Zajištění, aby byly milníky poskytování informací o projektu zahrnuty do balíčku výzvy k podání nabídek.</t>
  </si>
  <si>
    <t xml:space="preserve">2.4.6 </t>
  </si>
  <si>
    <t>Zajištění, aby projektový informační standard byl zahrnut do sestavy pro výzvu k veřejné soutěži</t>
  </si>
  <si>
    <t>zajištění, že projektový informační standard je obsažen v sestavě pro výzvu k veřejné soutěži;</t>
  </si>
  <si>
    <t>Zajištění, aby byl informační standard projektu zahrnut do balíčku výzvy k podání nabídek.</t>
  </si>
  <si>
    <t xml:space="preserve">2.4.7 </t>
  </si>
  <si>
    <t>Zajištění, aby projektové metody a postupy pro vytváření informací byly zahrnuty do sestavy pro výzvu k veřejné soutěži</t>
  </si>
  <si>
    <t>projektové metody a postupy pro vytváření informací jsou obsaženy v sestavě pro výzvu k veřejné soutěži; a</t>
  </si>
  <si>
    <t>Zajištění, aby byly metody a postupy tvorby informací v rámci projektu zahrnuty do balíčku výzvy k podání nabídek.</t>
  </si>
  <si>
    <t xml:space="preserve">2.4.8 </t>
  </si>
  <si>
    <t>Zajištění, aby projektový informační protokol byl zahrnut do sestavy pro výzvu k veřejné soutěži</t>
  </si>
  <si>
    <t>zajištění, že projektový informační protokol je obsažen v sestavě pro výzvu k veřejné soutěži;</t>
  </si>
  <si>
    <t>Zajištění, aby byl informační protokol projektu zahrnut do balíčku výzvy k podání nabídek.</t>
  </si>
  <si>
    <t xml:space="preserve">2.4.9 </t>
  </si>
  <si>
    <t>Zajištění, aby jakékoli další potřebné informace byly zahrnuty do sestavy pro výzvu k veřejné soutěži</t>
  </si>
  <si>
    <t>zajištění, že jakékoliv další požadavky na informace jsou obsaženy v sestavě pro výzvu k veřejné soutěži.</t>
  </si>
  <si>
    <t>Zajištění, aby byly zahrnuty všechny další informace požadované v balíčku pro výzvu k podání nabídek.</t>
  </si>
  <si>
    <t>3</t>
  </si>
  <si>
    <t>Proces managementu informací - Odpověď na veřejnou soutěž</t>
  </si>
  <si>
    <t>Proces managementu informací – Odpověď na veřejnou soutěž</t>
  </si>
  <si>
    <t>Proces správy informací - odpověď na nabídku</t>
  </si>
  <si>
    <t>ISO 19650-2; 5.3</t>
  </si>
  <si>
    <t>3.1</t>
  </si>
  <si>
    <t>Nominování jednotlivců k plnění funkcí při managementu informací</t>
  </si>
  <si>
    <t>Nominování jednotlivců pro plnění funkcí při managementu informací</t>
  </si>
  <si>
    <t>ISO 19650-2; 5.3.1</t>
  </si>
  <si>
    <t xml:space="preserve">3.1.1 </t>
  </si>
  <si>
    <t>Jmenování jednotlivců k plnění funkcí při managementu informací</t>
  </si>
  <si>
    <t>Nominování jednotlivců pro plnění funkcí při managementu informací.</t>
  </si>
  <si>
    <t xml:space="preserve">3.1.2 </t>
  </si>
  <si>
    <t>Stanovení rozsahu služeb pro funkce při managementu informací (je-li jmenována potenciální pověřená strana nebo třetí strana)</t>
  </si>
  <si>
    <t>Stanovit rozsah služeb pro pro management informací (v případě pověření potenciální pověřené strany nebo třetí strany).</t>
  </si>
  <si>
    <t xml:space="preserve">3.1.3 </t>
  </si>
  <si>
    <t>Stanovení úkolů, které mají být poskytnuty jako součást rozsahu služeb (je-li jmenována potenciální pověřená strana nebo třetí strana)</t>
  </si>
  <si>
    <t>Stanovit úkoly, které budou plněny v rámci rozsahu služeb (v případě pověření potenciální pověřené strany nebo třetí strany).</t>
  </si>
  <si>
    <t xml:space="preserve">3.1.4 </t>
  </si>
  <si>
    <t>Stanovení pravomocí, které vedoucí pověřená strana bude delegovat na potenciální pověřenou stranu nebo třetí stranu (je-li jmenována potenciální pověřená strana nebo třetí strana)</t>
  </si>
  <si>
    <t>Stanovit pravomoci, které potenciální vedoucí pověřená strana deleguje na potenciální pověřenou stranu nebo třetí stranu (v případě pověření potenciální pověřené strany nebo třetí strany).</t>
  </si>
  <si>
    <t>Stanovení pravomoci, které vedoucí pověřená strana přenese na budoucí pověřenou stranu nebo třetí stranu.</t>
  </si>
  <si>
    <t xml:space="preserve">3.1.5 </t>
  </si>
  <si>
    <t>Stanovení kompetencí (znalostí nebo dovedností), které jednotlivci plnící určité funkce budou potřebovat (ať jsou externisté či ne)</t>
  </si>
  <si>
    <t>Stanovit kompetence (znalosti nebo dovednosti), které budou jednotlivci plnící určité funkce potřebovat (bez ohledu na delegování).</t>
  </si>
  <si>
    <t>Stanovení kompetencí (znalosti nebo dovednosti), které budou osoby vykonávající danou funkci potřebovat.</t>
  </si>
  <si>
    <t xml:space="preserve">3.1.6 </t>
  </si>
  <si>
    <t>Stanovení čestných prohlášení pro případ vzniku možných střetů zájmů (je-li jmenována potenciální pověřená strana nebo třetí strana, kde může nastat střet zájmů)</t>
  </si>
  <si>
    <t>Připravit čestná prohlášení pro případ vzniku možných střetů zájmů (v případě pověření potenciální pověřené strany nebo třetí strany, u kterých by mohlo dojít ke střetu zájmů).</t>
  </si>
  <si>
    <t>Stanovení opatření týkající se bezúhonnosti, pokud může dojít k potenciálnímu střetu zájmů.</t>
  </si>
  <si>
    <t>3.2</t>
  </si>
  <si>
    <t>Stanovení (předběžného) plánu realizace BIM realizačního týmu</t>
  </si>
  <si>
    <t>Stanovení (předběžného) plánu realizace BIM realizačního týmu (BEP)</t>
  </si>
  <si>
    <t>Vytvoření plánu realizace BIM pro dodavatelský tým (před jmenováním).</t>
  </si>
  <si>
    <t>ISO 19650-2; 5.3.2</t>
  </si>
  <si>
    <t xml:space="preserve">3.2.1 </t>
  </si>
  <si>
    <t>Vytvoření plánu realizace BIM (před jmenováním) dodavatelského týmu</t>
  </si>
  <si>
    <t>3.3</t>
  </si>
  <si>
    <t xml:space="preserve">Posouzení způsobilosti a kapacity úkolového týmu </t>
  </si>
  <si>
    <t>Posouzení způsobilosti a kapacity úkolového týmu</t>
  </si>
  <si>
    <t>Posouzení schopností a kapacit pracovního týmu</t>
  </si>
  <si>
    <t>ISO 19650-2; 5.3.3</t>
  </si>
  <si>
    <t xml:space="preserve">3.3.1 </t>
  </si>
  <si>
    <t>Posouzení způsobilosti a kapacity předávat informace v souladu s požadavky pověřující strany na výměnu informace a s (předběžným) plánem realizace BIM realizačního týmu</t>
  </si>
  <si>
    <t>Provedení posouzení způsobilosti a kapacity předávat informace v souladu s požadavky pověřující strany na výměnu informací a s navrženým (předběžným) plánem realizace BIM realizačního týmu.</t>
  </si>
  <si>
    <t>Posouzení schopností a kapacit pro poskytování informací v souladu s požadavky pověřené strany na výměnu informací a navrhovaným (před jmenováním) plánem provádění BIM dodacího týmu.</t>
  </si>
  <si>
    <t>3.4</t>
  </si>
  <si>
    <t>Stanovení způsobilosti a kapacity realizačního týmu</t>
  </si>
  <si>
    <t>Stanovení schopností a kapacit realizačního týmu</t>
  </si>
  <si>
    <t>ISO 19650-2; 5.3.4</t>
  </si>
  <si>
    <t xml:space="preserve">3.4.1 </t>
  </si>
  <si>
    <t>Stanovení způsobilosti a kapacity realizačního týmu sloučením posouzení provedených jednotlivými úkolovými týmy a vytvořit přehled o způsobilosti realizačního týmu pro mnagement a vytváření informací a jeho kapacitě pro včasné předávání nformací.</t>
  </si>
  <si>
    <t>Stanovení způsobilosti a kapacity realizačního týmu sloučením posouzení provedených jednotlivými úkolovými týmy a vytvořit přehled o způsobilosti realizačního týmu pro management a vytváření informací a jeho kapacitě pro včasné předávání informací.</t>
  </si>
  <si>
    <t>Stanovení schopností a kapacit dodavatelského týmu tak, že shrnete hodnocení provedená jednotlivými úkolovými týmy a vytvoříte souhrn schopností dodavatelského týmu řídit a vytvářet informace a jeho schopnost včasného dodání informací.</t>
  </si>
  <si>
    <t>3.5</t>
  </si>
  <si>
    <t>Stanovení plánu mobilizace realizačního týmu</t>
  </si>
  <si>
    <t>Vypracování mobilizačního plánu realizačního týmu</t>
  </si>
  <si>
    <t>ISO 19650-2; 5.3.5</t>
  </si>
  <si>
    <t xml:space="preserve">3.5.1 </t>
  </si>
  <si>
    <t>Stanovení plánu mobilizace navrhovaný realizačním týmem, který bude spuštěn a implementován při mobilizaci</t>
  </si>
  <si>
    <t>Stanovení plánu mobilizace realizačního týmu, který bude spuštěn a implementován při mobilizaci.</t>
  </si>
  <si>
    <t>Vypracování navrhovaného mobilizačního plánu realizačního týmu, který bude zahájen a realizován během mobilizace.</t>
  </si>
  <si>
    <t>3.6</t>
  </si>
  <si>
    <t>Stanovení registru rizik realizačního týmu</t>
  </si>
  <si>
    <t>Vytvoření registru rizik realizačního týmu</t>
  </si>
  <si>
    <t>ISO 19650-2; 5.3.6</t>
  </si>
  <si>
    <t xml:space="preserve">3.6.1 </t>
  </si>
  <si>
    <t>Stanovení registru rizik realizačního týmu obsahujícího rizika spojená s včasným předáváním informací, v souladu s požadavky pověřující strany na výměnu informací, a způsob, jakým realizační tým zamýšlí tato rizika řídit</t>
  </si>
  <si>
    <t>Stanovení registru rizik realizačního týmu obsahující rizika spojená s včasným předáváním informací, v souladu s požadavky pověřující strany na výměnu informací, a způsob, jakým realizační tým zamýšlí tato rizika řídit</t>
  </si>
  <si>
    <t>Vytvoření registru rizik realizačního týmu, který bude obsahovat rizika spojená s včasným dodáním informací v souladu s požadavky jmenující strany na výměnu informací a způsob, jakým hodlá realizační tým tato rizika řídit.</t>
  </si>
  <si>
    <t>3.7</t>
  </si>
  <si>
    <t>Sestavení odpovědi realizačního týmu na veřejnou soutěž</t>
  </si>
  <si>
    <t>Sestavení odpovědi na nabídku dodavatelského týmu</t>
  </si>
  <si>
    <t xml:space="preserve">3.7.1 </t>
  </si>
  <si>
    <t>Zajištění, aby byl (předsmluvní) plán realizace BIM zahrnut do odpovědi realizačního týmu na veřejnou soutěž</t>
  </si>
  <si>
    <t>Zajištění, že (předběžný) plán realizace BIM je začleněn do odpovědi realizačního týmu na veřejnou soutěž.</t>
  </si>
  <si>
    <t>Zahrnutí plánu realizace BIM (před jmenováním) do odpovědi dodavatelského týmu na nabídku.</t>
  </si>
  <si>
    <t>ISO 19650-2; 5.3.7</t>
  </si>
  <si>
    <t xml:space="preserve">3.7.2 </t>
  </si>
  <si>
    <t>Zajištění, aby bylo shrnutí výsledku posouzení způsobilosti a kapacity zahrnuto do odpovědi realizačního týmu na veřejnou soutěž</t>
  </si>
  <si>
    <t>Zajištění, že shrnutí výsledku posouzení způsobilosti a kapacity je začleněno do odpovědi realizačního týmu na veřejnou soutěž.</t>
  </si>
  <si>
    <t>Zajištění, aby součástí odpovědi na nabídku dodavatelského týmu bylo shrnutí posouzení schopností a kapacit.</t>
  </si>
  <si>
    <t xml:space="preserve">3.7.3 </t>
  </si>
  <si>
    <t>Zajištění, aby byl plán mobilizace zahrnut do odpovědi realizačního týmu na veřejnou soutěž</t>
  </si>
  <si>
    <t>Zajištění, že plán mobilizace je začleněn do odpovědi realizačního týmu na veřejnou soutěž.</t>
  </si>
  <si>
    <t>Zajištění, aby byl v odpovědi na nabídku dodavatelského týmu zahrnut navrhovaný mobilizační plán.</t>
  </si>
  <si>
    <t xml:space="preserve">3.7.4 </t>
  </si>
  <si>
    <t>Zajištění, aby bylo posouzení rizik u předávání informací zahrnuto do odpovědi realizačního týmu na veřejnou soutěž</t>
  </si>
  <si>
    <t>Zajištění, že posouzení rizik u předávání informací je začleněno do odpovědi realizačního týmu na veřejnou soutěž.</t>
  </si>
  <si>
    <t>Zajištění, aby součástí odpovědi na nabídku dodavatelského týmu bylo posouzení rizik dodávky.</t>
  </si>
  <si>
    <t>3.8</t>
  </si>
  <si>
    <t>Vyhodnocení odpovědí realizačního týmu (týmů) na veřejnou soutěž</t>
  </si>
  <si>
    <t>Provedení hodnocení odpovědi realizačnío týmu na veřejnou soutěž</t>
  </si>
  <si>
    <t>Provedení posouzení nabídky dodavatelského týmu v rámci výběrového řízení</t>
  </si>
  <si>
    <t xml:space="preserve">3.8.1 </t>
  </si>
  <si>
    <t>Kontrola, zda byly v odpovědích na výběrové řízení plně poskytnuty požadované informace</t>
  </si>
  <si>
    <t>Kontrola, že byly podány úplné požadované informace požadované v rámci výzvy na veřejnou soutěž.</t>
  </si>
  <si>
    <t>Kontrola, zda byly požadované informace v odpovědi na nabídku poskytnuty v plném rozsahu.</t>
  </si>
  <si>
    <t xml:space="preserve">3.8.2 </t>
  </si>
  <si>
    <t>Vyhodnocení odpovědi realizačního týmu (týmů) na výběrové řízení na základě kritérií pro hodnocení výběrového řízení</t>
  </si>
  <si>
    <t>Posoudit odpověď realizačního týmu na veřejnou soutěž podle hodnoticích kritérií.</t>
  </si>
  <si>
    <t>Vyhodnocení odpovědí dodavatelského týmu na nabídku podle kritérií hodnocení nabídek.</t>
  </si>
  <si>
    <t xml:space="preserve">3.8.3 </t>
  </si>
  <si>
    <t>Informování realizačního týmu (týmů) o výsledku vyhodnocení veřejné soutěže</t>
  </si>
  <si>
    <t>Informaovat realizační tým o výsledku hodnocení nabídek.</t>
  </si>
  <si>
    <t>Informování dodavatelský tým (dodavatelské týmy) o výsledku hodnocení nabídek</t>
  </si>
  <si>
    <t>4</t>
  </si>
  <si>
    <t>Proces managementu informací - Pověření</t>
  </si>
  <si>
    <t>Proces managementu informací – Pověření</t>
  </si>
  <si>
    <t>Proces správy informací - jmenování</t>
  </si>
  <si>
    <t>ISO 19650-2; 5.4</t>
  </si>
  <si>
    <t>4.1</t>
  </si>
  <si>
    <t>Potvrzení plánu realizace BIM realizačního týmu</t>
  </si>
  <si>
    <t>Potvrzení plánu realizace BIM</t>
  </si>
  <si>
    <t>ISO 19650-2; 5.4.1</t>
  </si>
  <si>
    <t xml:space="preserve">4.1.1 </t>
  </si>
  <si>
    <t>Po dohodě s každou z pověřených stran schválit plán realizace BIM realizačního týmu, včetně:</t>
  </si>
  <si>
    <t>Vypracovat plán realizace BIM realizačního týmu po dohodě s každou z pověřených stran, což zahrnuje:</t>
  </si>
  <si>
    <t>Vypracování plánu realizace BIM.</t>
  </si>
  <si>
    <t xml:space="preserve">4.1.2 </t>
  </si>
  <si>
    <t>Potvrzení jména jednotlivce (jednotlivců), který bude v rámci realizačního týmu plnit funkce při managementu informací</t>
  </si>
  <si>
    <t>pozvrzení jméno jednotlivce (jednotlivců), který bude v rámci realizačního týmu plnit funkce při managementu informací;</t>
  </si>
  <si>
    <t>Potvrzení jmén osob, které budou vykonávat funkci správy informací.</t>
  </si>
  <si>
    <t>ISO 19650-2; 5.4.1 a)</t>
  </si>
  <si>
    <t xml:space="preserve">4.1.3 </t>
  </si>
  <si>
    <t>Aktualizace strategie předávání informací realizačního týmu (podle požadavků)</t>
  </si>
  <si>
    <t>aktualizaci strategie předávání informací realizačního týmu (podle požadavků);</t>
  </si>
  <si>
    <t>Aktualizace strategii dodavatelského týmu pro poskytování informací.</t>
  </si>
  <si>
    <t>ISO 19650-2; 5.4.1 b)</t>
  </si>
  <si>
    <t xml:space="preserve">4.1.4 </t>
  </si>
  <si>
    <t>Aktualizace vysokoúrovňové matice odpovědnosti realizačního týmu (podle požadavků)</t>
  </si>
  <si>
    <t>aktualizaci vysokoúrovňové matice odpovědnosti realizačního týmu (podle požadavků);</t>
  </si>
  <si>
    <t>Aktualizace matici odpovědnosti na vysoké úrovni dodavatelského týmu.</t>
  </si>
  <si>
    <t>ISO 19650-2; 5.4.1 c)</t>
  </si>
  <si>
    <t xml:space="preserve">4.1.5 </t>
  </si>
  <si>
    <t>Potvrzení a dokumentace navržené metody a postupů realizačního týmu pro vytváření informací</t>
  </si>
  <si>
    <t>potvrzení a zdokumentování navržených metod a postupů realizačního týmu pro vytváření informací;</t>
  </si>
  <si>
    <t>Potvrzení a zdokumentování navrhovaných metod a postupů tvorby informací dodavatelským týmem.</t>
  </si>
  <si>
    <t>ISO 19650-2; 5.4.1 d)</t>
  </si>
  <si>
    <t xml:space="preserve">4.1.6 </t>
  </si>
  <si>
    <t>Dohodnout s pověřující stranou jakékoliv dodatky nebo změny projektového standardu</t>
  </si>
  <si>
    <t>dohodnutí s pověřující stranou na jakýchkoliv dodatcích nebo změnách projektového informačního standardu; a</t>
  </si>
  <si>
    <t xml:space="preserve">Odsouhlasení případné doplňky nebo změny informačního standardu projektu pověřenou stranou </t>
  </si>
  <si>
    <t>ISO 19650-2; 5.4.1 e)</t>
  </si>
  <si>
    <t>2.1.1 a)</t>
  </si>
  <si>
    <t xml:space="preserve">4.1.7 </t>
  </si>
  <si>
    <t>Potvrzení rozpisu nasazení software, hardware a IT infrastruktury, které bude realizační tým používat</t>
  </si>
  <si>
    <t>potvrzení rozpisu nasazení software, hardware a IT infrastruktury, které bude realizační tým používat.</t>
  </si>
  <si>
    <t>Potvrzení softwaru, hardwaru a infrastruktury IT, které bude realizační tým používat.</t>
  </si>
  <si>
    <t>ISO 19650-2; 5.4.1 f)</t>
  </si>
  <si>
    <t>4.2</t>
  </si>
  <si>
    <t>Stanovení podrobné matice odpovědnosti realizačního týmu</t>
  </si>
  <si>
    <t>Vytvoření podrobné matice odpovědnosti realizačního týmu.</t>
  </si>
  <si>
    <t>ISO 19650-2; 5.4.2</t>
  </si>
  <si>
    <t xml:space="preserve">4.2.1 </t>
  </si>
  <si>
    <t>Upřesnění vysokoúrovňové matice odpovědnosti za účelem zřízení matice podrobné odpovědnosti</t>
  </si>
  <si>
    <t>Zpřesnění vysoko-úrovňovou matici odpovědnosti do podoby stanovení podrobné matice odpovědnosti.</t>
  </si>
  <si>
    <t>Zpřesnění matice odpovědnosti na vysoké úrovni za účelem vytvoření podrobné matice odpovědnosti</t>
  </si>
  <si>
    <t xml:space="preserve">4.2.2 </t>
  </si>
  <si>
    <t>Sdílejte podrobnou matici odpovědnosti dodavatelskému řetězci k připomínkám a komentářům</t>
  </si>
  <si>
    <t>Sdílení podrobné matice odpovědnosti pro kontrolu a připomínkování ze strany dodavatelského řetězce.</t>
  </si>
  <si>
    <t>Sdílení podrobné matice odpovědnosti k přezkoumání a připomínkování v dodavatelském řetězci.</t>
  </si>
  <si>
    <t>4.3</t>
  </si>
  <si>
    <t>Stanovení požadavků vedoucí pověřené strany na výměnu informací</t>
  </si>
  <si>
    <t>ISO 19650-2; 5.4.3</t>
  </si>
  <si>
    <t xml:space="preserve">4.3.1 </t>
  </si>
  <si>
    <t>Stanovení požadavků vedoucí pověřené strany na výměnu informací.</t>
  </si>
  <si>
    <t xml:space="preserve">4.3.2 </t>
  </si>
  <si>
    <t>Definince každého informačního požadavku</t>
  </si>
  <si>
    <t>Definování každého jednotlivého požadavku na informace.</t>
  </si>
  <si>
    <t>Definice jednotlivých požadavků na informace.</t>
  </si>
  <si>
    <t>ISO 19650-2; 5.4.3 a)</t>
  </si>
  <si>
    <t xml:space="preserve">4.3.3 </t>
  </si>
  <si>
    <t>Stanovení úrovně potřebnosti informací pro splnění jednotlivých požadavků na informace</t>
  </si>
  <si>
    <t>stanovit úroveň informačních potřeb požadovanou pro splnění jednotlivých požadavků na informace</t>
  </si>
  <si>
    <t>Stanovení úrovně potřeby informací potřebných ke splnění každého požadavku na informace.</t>
  </si>
  <si>
    <t>ISO 19650-2; 5.4.3 b)</t>
  </si>
  <si>
    <t xml:space="preserve">4.3.4 </t>
  </si>
  <si>
    <t>Stanovení akceptačních kritérií pro každý jednotlivý požadavek na informace</t>
  </si>
  <si>
    <t>stanovit akceptační kritéria pro každé jednotlivé požadavky na informace</t>
  </si>
  <si>
    <t>Stanovení kritéria přijatelnosti pro každý požadavek na informace</t>
  </si>
  <si>
    <t>ISO 19650-2; 5.4.3 c)</t>
  </si>
  <si>
    <t xml:space="preserve">4.3.5 </t>
  </si>
  <si>
    <t>Stanovení kalendářních dat pro splnění jednotlivých požadavků ve vztahu k projektovým milníkům pro předání informací</t>
  </si>
  <si>
    <t>stanovit kalendářní data, ve vztahu k projektovým milníkům pro předávání informac</t>
  </si>
  <si>
    <t>Stanovení termínů ve vztahu k milníkům dodání informací v rámci projektu.</t>
  </si>
  <si>
    <t>ISO 19650-2; 5.4.3 d)</t>
  </si>
  <si>
    <t xml:space="preserve">4.3.6 </t>
  </si>
  <si>
    <t>Stanovení podpůrných informací, které může pověřená strana potřebovat pro plné porozumnění jednotlivým požadavkům na informace nebo akceptačním kritériím, nebo jejich vyhodnocení</t>
  </si>
  <si>
    <t>stanovit podpůrné informace, které by pověřená strana mohla potřebovat pro plné porozumění jednotlivým požadavkům na informace nebo akceptačním kritériím nebo pro jejich vyhodnocení</t>
  </si>
  <si>
    <t>Stanovení podpůrné informace, které by pověřená strana mohla potřebovat, aby plně pochopila nebo vyhodnotila každý informační požadavek nebo kritéria jeho přijetí.</t>
  </si>
  <si>
    <t>ISO 19650-2; 5.4.3 e)</t>
  </si>
  <si>
    <t>4.4</t>
  </si>
  <si>
    <t>Stanovení úkolového plánu (plánů) předávání informací</t>
  </si>
  <si>
    <t>Stanovení úkolového plánu (plánů) předávání informací (TIDP)</t>
  </si>
  <si>
    <t>Stanovení plánu/ů dodávek informací pro daný úkol</t>
  </si>
  <si>
    <t>ISO 19650-2; 5.4.4</t>
  </si>
  <si>
    <t xml:space="preserve">4.4.1 </t>
  </si>
  <si>
    <t>Vytoření šablony úkolového plánu předávání informací úkolového týmu (není-li poskytnuta pověřující stranou v rámci sdílených zdrojů)</t>
  </si>
  <si>
    <t>Vytvořit šablonu úkolového plánu předávání informací (pokud nebyla poskytnuta mezi sdílenými zdroji pověřující stranou)</t>
  </si>
  <si>
    <t>Vytvoření šablony plánu dodání informací o úkolu.</t>
  </si>
  <si>
    <t xml:space="preserve">4.4.2 </t>
  </si>
  <si>
    <t>Stanovení úkolového plánu předávání informací (TIDP) a jeho údržba pro celou dobu trvání pověření</t>
  </si>
  <si>
    <t>Stanovení a udržování úkolového plánu pro předávání informací po celou dobu trvání pověření.</t>
  </si>
  <si>
    <t>Tvorba a udržba plánu poskytování informací o úkolu po celou dobu jmenování</t>
  </si>
  <si>
    <t>4.5</t>
  </si>
  <si>
    <t>Stanovení hlavního plánu předávání informací</t>
  </si>
  <si>
    <t>Stanovení hlavního plánu předávání informací (MIDP)</t>
  </si>
  <si>
    <t>Vytvoření hlavního plánu poskytování informací</t>
  </si>
  <si>
    <t>ISO 19650-2; 5.4.5</t>
  </si>
  <si>
    <t xml:space="preserve">4.5.1 </t>
  </si>
  <si>
    <t>Sloučení TIDP od jednotlivých úkolových týmů pro stanovení hlavního plánu předávání informací (MIDP) realizačního týmu</t>
  </si>
  <si>
    <t>Sloučení úkolových plánů předávání informací od jednotlivých úkolových týmů do podoby hlavního plánu předávání informací (MIDP) realizačního týmu</t>
  </si>
  <si>
    <t>Vytvoření souhrnu plánů dodávek informací z jednotlivých úkolových týmů za účelem vytvoření hlavního plánu dodávek informací (MIDP) pro daný úkolový tým.</t>
  </si>
  <si>
    <t xml:space="preserve">4.5.2 </t>
  </si>
  <si>
    <t>Zakotvení výstupů a klandářních dat v rámci hlavního plánu předávání informací</t>
  </si>
  <si>
    <t>zakotvit výstupy a kalendářní data v hlavním plánuu předávání informací.</t>
  </si>
  <si>
    <t>Sepsání základních výstupy a termíny v rámci hlavního plánu dodávek informací</t>
  </si>
  <si>
    <t xml:space="preserve">4.5.3 </t>
  </si>
  <si>
    <t>Informovat každý úkolový tým a oznamovat v případě změn v TIDP</t>
  </si>
  <si>
    <t>informovat jednotlivé úkolové týmy a oznamovat v případě změn v TIDP</t>
  </si>
  <si>
    <t>Informování jednotlivých úkolových týmů a oznamení o změnách v plánu dodávek informací.</t>
  </si>
  <si>
    <t xml:space="preserve">4.5.4 </t>
  </si>
  <si>
    <t>Informovat pověřující stranu o jakýchkoliv rizicích nebo problémech, které by mohly mít ovlivnit projektové milníky předávání informací</t>
  </si>
  <si>
    <t>informovat pověřující stranu o jakýchkoliv rizicích nebo problémech, které by mohly ovlivnit projektové milníky pro předání informací</t>
  </si>
  <si>
    <t>Informování pověřující strany o všech rizicích nebo problémech, které by mohly mít dopad na milníky realizace projektu</t>
  </si>
  <si>
    <t>4.6</t>
  </si>
  <si>
    <t>Vyhotovení pověřovacích dokumentů vedoucí pověřené strany</t>
  </si>
  <si>
    <t>Aktualizace sdílených zdrojů</t>
  </si>
  <si>
    <t>ISO 19650-2; 5.4,6</t>
  </si>
  <si>
    <t xml:space="preserve">4.6.1 </t>
  </si>
  <si>
    <t>Aktualizace projektového informačního standardu s dohodnutými dodatky nebo změnami navrženými vedoucími pověřenými stranami v rámci jejich plánů realizace BIM a následně během jejich pověření (včetně všech aktualizací požadovaných plánem správy zabezpečení)</t>
  </si>
  <si>
    <t>Aktualizovat projektový informační standard o dohodnuté dodatky a změny navržené vedoucí pověřenou stranou v rámci jejího předběžného plánu realizace BIM a následně v průběu jejího pověčení (včetně jakýchkoliv aktualizací požadovaných podle plánu managementu bezpečnosti.</t>
  </si>
  <si>
    <t>Aktualizace informačního standard projektu o dohodnutých doplňků nebo změny navržené vedoucími jmenovanými stranami v rámci jejich plánů provádění BIM před jmenováním a následně v průběhu jejich jmenování (včetně všech aktualizací vyžadovaných plánem řízení bezpečnosti).</t>
  </si>
  <si>
    <t xml:space="preserve">4.6.2 </t>
  </si>
  <si>
    <t>Aktualizace metod a postupů produkce informací projektu s dohodnutými dodatky nebo změnami navrženými vedoucími pověřenými stranami v rámci jejich plánů realizaceí BIM a následně během jejich pověření (včetně všech aktualizací plánu správy zabezpečení)</t>
  </si>
  <si>
    <t>Aktualizovat projektové metody a postupy pro vyvtáření informací o dohodnuté dodatky a změny navržené vedoucí pověřenou stranou v rámci jejího předběžného plánu realizace BIM a následně v průběu jejího pověření (včetně jakýchkoliv aktualizací požadovaných podle plánu managementu bezpečnosti.</t>
  </si>
  <si>
    <t>Aktualizace metody a postupů tvorby informací v projektu s dohodnutými doplňky nebo změnami navrženými vedoucími jmenovanými stranami v rámci jejich plánů provádění BIM před jmenováním a následně v průběhu jejich jmenování (včetně všech aktualizací vyžadovaných plánem řízení bezpečnosti).</t>
  </si>
  <si>
    <t>4.7</t>
  </si>
  <si>
    <t>Vyplnění dokumentů o jmenování hlavní pověřené strany</t>
  </si>
  <si>
    <t>ISO 19650-2; 5.4.6</t>
  </si>
  <si>
    <t xml:space="preserve">4.7.1 </t>
  </si>
  <si>
    <t>Dokončení jmenovací dokumenty hlavní pověřené strany</t>
  </si>
  <si>
    <t xml:space="preserve">4.7.2 </t>
  </si>
  <si>
    <t>Zajištění, aby do pověření byly zahrnuty požadavky pověřující strany na výměnu informací</t>
  </si>
  <si>
    <t>zajištění, že požadavky pověřujcíí strany na výměnu informací jsou obsaženy v pověření;</t>
  </si>
  <si>
    <t>Zajištění, aby byly do jmenování zahrnuty požadavky pověřující strany na výměnu informací</t>
  </si>
  <si>
    <t xml:space="preserve">4.7.3 </t>
  </si>
  <si>
    <t>Zajištění, aby do pověření byl zahrnut projektový informační standard (včetně všech dohodnutých dodatků nebo změn)</t>
  </si>
  <si>
    <t>zajištění, že projektový informační standard je obsažen v pověření, včetně odsouhlasených dodatků a změn;</t>
  </si>
  <si>
    <t>Zajištění, aby byl do jmenování zahrnut informační standard projektu s případnými dohodnutými doplňky nebo změnami.</t>
  </si>
  <si>
    <t xml:space="preserve">4.7.4 </t>
  </si>
  <si>
    <t>Zajištění, aby do pověření byly zahrnuty projektové metody a postupy vytváření informací (včetně všech dohodnutých dodatků nebo změn)</t>
  </si>
  <si>
    <t>zajištění, že projektové metody a postupy pro vytváření informací jsou obsaženy v pověření, včetně odsouhlasených dodatků a změn;</t>
  </si>
  <si>
    <t>Zajištění, aby byly do jmenování zahrnuty metody a postupy tvorby informací v rámci projektu s případnými dohodnutými doplňky nebo změnami.</t>
  </si>
  <si>
    <t xml:space="preserve">4.7.5 </t>
  </si>
  <si>
    <t>Zajištění, aby byl do pověření zahrnut plán realizace BIM realizačního týmu</t>
  </si>
  <si>
    <t>zajištění, že plán realizace BIM realizačního týmu je obsažen v pověření;</t>
  </si>
  <si>
    <t>Zajištěmí, aby byl do schůzky zahrnut plán realizace BIM realizačního týmu.</t>
  </si>
  <si>
    <t xml:space="preserve">4.7.6 </t>
  </si>
  <si>
    <t>Zajištění, aby do pověření byl zahrnut dohodnutý hlavní plán předávání informací (MIDP) realizačního týmu</t>
  </si>
  <si>
    <t>zajištění, že hlavní plán pro předávání informací je obsažen v pověření;</t>
  </si>
  <si>
    <t>Zajištění, aby byl do jmenování zahrnut hlavní plán poskytování informací (MIDP) dodavatelského týmu.</t>
  </si>
  <si>
    <t xml:space="preserve">4.7.7 </t>
  </si>
  <si>
    <t>Zajištění, aby do pověření byl zahrnut projektový informační protokol</t>
  </si>
  <si>
    <t>zajištění, že projektový informační protokol je obsažen v pověření;</t>
  </si>
  <si>
    <t>Zajištění, aby byl do schůzky zahrnut informační protokol projektu.</t>
  </si>
  <si>
    <t xml:space="preserve">4.7.8 </t>
  </si>
  <si>
    <t>Správa procesu říezní změn spojených s pověřovacími dokumenty vedoucí pověřené strany</t>
  </si>
  <si>
    <t>Provést změnový kontrolní proces související se pověřovacími dokumenty vedoucí pověřené strany.</t>
  </si>
  <si>
    <t>Řízení procesu řízení změn souvisejících s dokumentací jmenování hlavní pověřené strany.</t>
  </si>
  <si>
    <t>4.8</t>
  </si>
  <si>
    <t>Vyhotovení pověřovacích dokumentů pověřených stran</t>
  </si>
  <si>
    <t>Vyhotovení pověřovacích dokumentů pověřené strany</t>
  </si>
  <si>
    <t xml:space="preserve">Dokončení dokumentů o jmenování jmenované strany </t>
  </si>
  <si>
    <t>ISO 19650-2; 5.4.7</t>
  </si>
  <si>
    <t xml:space="preserve">4.8.1 </t>
  </si>
  <si>
    <t>Vyhotovení pověřovacích dokumentů pro každou pověřenou stranu, včetně:</t>
  </si>
  <si>
    <t>Vyhotovení pověřovacích dokumentů pověřené strany pro dohody s každou pověřenou stranou</t>
  </si>
  <si>
    <t>Vyplnění jmenovacích dokumentů pověřené strany pro dohodu s každou pověřenou stranou</t>
  </si>
  <si>
    <t xml:space="preserve">4.8.2 </t>
  </si>
  <si>
    <t>Zajištění, aby do pověření byly zahrnuty požadavky vedoucí pověřené strany na výměnu informací</t>
  </si>
  <si>
    <t>zajištění, že požadavky vedoucí pověřené strany na výměnu informací jsou obsaženy v pověření;</t>
  </si>
  <si>
    <t>Zajištění, aby byly do jmenování zahrnuty požadavky hlavní pověřené strany na výměnu informací</t>
  </si>
  <si>
    <t xml:space="preserve">4.8.3 </t>
  </si>
  <si>
    <t xml:space="preserve">4.8.4 </t>
  </si>
  <si>
    <t xml:space="preserve">4.8.5 </t>
  </si>
  <si>
    <t>Zajištění, aby byl do schůzky zahrnut plán realizace BIM realizačního týmu.</t>
  </si>
  <si>
    <t xml:space="preserve">4.8.6 </t>
  </si>
  <si>
    <t>Zajištění, aby do pověření byl zahrnut dohodnutý úkolový plán předávání informací (TIDP)</t>
  </si>
  <si>
    <t>zajištění, že odsouhlasený úkolový plán pro předávání informací je obsažen v pověření;</t>
  </si>
  <si>
    <t>Zajištění, aby byl do jmenování zahrnut dohodnutý plán poskytování informací o úkolu (TIDP).</t>
  </si>
  <si>
    <t xml:space="preserve">4.8.7 </t>
  </si>
  <si>
    <t>Zajištění, aby byl ve schůzce zahrnut informační protokol projektu.</t>
  </si>
  <si>
    <t xml:space="preserve">4.8.8 </t>
  </si>
  <si>
    <t>Provedení změnového kontrolního procesu souvisejícího s pověřovacími dokumenty pověřených stran</t>
  </si>
  <si>
    <t>Provést změnový kontrolní proces související se pověřovacími dokumenty pověřené strany.</t>
  </si>
  <si>
    <t>Řízení procesu řízení změn souvisejících s dokumentací jmenování pověřené strany.</t>
  </si>
  <si>
    <t>5</t>
  </si>
  <si>
    <t>Proces managementu informací - Mobilizace</t>
  </si>
  <si>
    <t>Proces managementu informací – Mobilizace</t>
  </si>
  <si>
    <t>Proces řízení informací - mobilizace</t>
  </si>
  <si>
    <t>ISO 19650-2; 5.5</t>
  </si>
  <si>
    <t>5.1</t>
  </si>
  <si>
    <t>Mobilizace zdrojů</t>
  </si>
  <si>
    <t>ISO 19650-2; 5.5.1</t>
  </si>
  <si>
    <t xml:space="preserve">5.1.1 </t>
  </si>
  <si>
    <t>Mobilizace zdrojů, včetně:</t>
  </si>
  <si>
    <t>Mobilizace zdrojů.</t>
  </si>
  <si>
    <t xml:space="preserve">5.1.2 </t>
  </si>
  <si>
    <t>Potvrzení dostupnosti zdrojů každého úkolového týmu</t>
  </si>
  <si>
    <t>potvrdit dostupnost zdrojů každého úkolového týmu</t>
  </si>
  <si>
    <t>Potvrzení dostupnosti zdrojů každého pracovního týmu.</t>
  </si>
  <si>
    <t xml:space="preserve">5.1.3 </t>
  </si>
  <si>
    <t>Příprava a realizace vzdělávání členů realizačního týmu, týkající se např. předmětu projektu, požadavků na výměnu informací a milníků pro předání (požadované znalosti)</t>
  </si>
  <si>
    <t>připravit a realizovat vzdělávání členů realizačního týmu týkající se např. předmětu projektu, požadavků na výměnu informací a milníků pro předání (požadované znalosti)</t>
  </si>
  <si>
    <t>Vypracování a poskytnutí členům realizačního týmu vzdělávání o tématech, jako je rozsah projektu, požadavky na výměnu informací a milníky dodávky.</t>
  </si>
  <si>
    <t xml:space="preserve">5.1.4 </t>
  </si>
  <si>
    <t>Příprava a realizace školení členů realizačního týmu (požadované dovednosti)</t>
  </si>
  <si>
    <t>připravit a realizovat školení členů realizačního týmu (požadované dovednosti)</t>
  </si>
  <si>
    <t>Vypracování a poskytnutí školení (požadované dovednosti) členům realizačního týmu.</t>
  </si>
  <si>
    <t>5.2</t>
  </si>
  <si>
    <t>Mobilizace informačních technologií</t>
  </si>
  <si>
    <t>Mobilizace informační technologie</t>
  </si>
  <si>
    <t>ISO 19650-2; 5.5.2</t>
  </si>
  <si>
    <t xml:space="preserve">5.2.1 </t>
  </si>
  <si>
    <t>Mobilizace informačních technologií, včetně:</t>
  </si>
  <si>
    <t>Mobilizace informační technologie.</t>
  </si>
  <si>
    <t xml:space="preserve">5.2.2 </t>
  </si>
  <si>
    <t>Obstarání, implementace, konfigurace a otestování software, hardware a IT infrastruktury (podle požadavků)</t>
  </si>
  <si>
    <t>obstarat, implementovat, nakonfigurovat a otestovat software, hardware a IT infrastrukturu (podle požadavků)</t>
  </si>
  <si>
    <t>Pořízení, implementace, konfigurace a testování softwaru, hardwaru a infrastruktury IT (podle potřeby).</t>
  </si>
  <si>
    <t xml:space="preserve">5.2.3 </t>
  </si>
  <si>
    <t>Konfigurace a otestování projektového CDE v souladu s 1.8</t>
  </si>
  <si>
    <t>nakonfigurovat a otestovat projektové CDE</t>
  </si>
  <si>
    <t>Konfigurace a testování společného datového prostředí projektu.</t>
  </si>
  <si>
    <t xml:space="preserve">5.2.4 </t>
  </si>
  <si>
    <t>Konfigurace a testování (distribuovaného) CDE realizačního týmu a jeho konektivitu a projektovým CDE (pokud se uplatní) v souladu s 1.8</t>
  </si>
  <si>
    <t>nakonfigurovat a otestovat (distribuované) CDE realizačního týmu a jeho konektivitu s projektovým CDE (pokud se uplatní)</t>
  </si>
  <si>
    <t>Konfigurace a testování (distribuovaného) společného datového prostředí realizačního týmu a jeho propojení se společným datovým prostředím projektu (pokud je to relevantní).</t>
  </si>
  <si>
    <t xml:space="preserve">5.2.5 </t>
  </si>
  <si>
    <t>Otestování výměny informací mezi úkolovými týmy</t>
  </si>
  <si>
    <t>otestovat výměny informací mezi úkolovými týmy</t>
  </si>
  <si>
    <t>Testování výměny informací mezi úkolovými týmy.</t>
  </si>
  <si>
    <t xml:space="preserve">5.2.6 </t>
  </si>
  <si>
    <t>Otestování předávání informací pověřující straně</t>
  </si>
  <si>
    <t>otestovat předávání informací pověřující straně</t>
  </si>
  <si>
    <t>Testování předávání informací pověřující straně.</t>
  </si>
  <si>
    <t>5.3</t>
  </si>
  <si>
    <t>Testování projektových metod a postupů pro vytváření informací</t>
  </si>
  <si>
    <t>Testování metody a postupy tvorby informací v rámci projektu</t>
  </si>
  <si>
    <t>ISO 19650-2; 5.5.3</t>
  </si>
  <si>
    <t xml:space="preserve">5.3.1 </t>
  </si>
  <si>
    <t>Testování a dokumentace projektových metod a postupů pro vytváření informací</t>
  </si>
  <si>
    <t>otestovat a zdokumentovat projektové metody a postupy pro vytváření informací</t>
  </si>
  <si>
    <t>Testování a zdokumentování metody a postupu tvorby informací v rámci projektu.</t>
  </si>
  <si>
    <t xml:space="preserve">5.3.2 </t>
  </si>
  <si>
    <t>Zpřesnění a ověření proveditelnosti navržené struktury členění informačních kontejnerů</t>
  </si>
  <si>
    <t>zpřesnit a ověřit proveditelnost navržené struktury členění informačních kontejnerů</t>
  </si>
  <si>
    <t>Zpřesnění a ověření, zda je navržená struktura rozdělení informačních kontejnerů funkční.</t>
  </si>
  <si>
    <t xml:space="preserve">5.3.3 </t>
  </si>
  <si>
    <t>Vývoj sdílených zdrojů určených k používání realizačním týmem</t>
  </si>
  <si>
    <t>vyvinout sdílené zdroje určené k používání realizačním týmem</t>
  </si>
  <si>
    <t>Vypracování sdílených zdrojů, které bude využívat realizační tým.</t>
  </si>
  <si>
    <t xml:space="preserve">5.3.4 </t>
  </si>
  <si>
    <t>Prezentace projektových metod a postupů pro vytváření informací všech úkolovým týmům</t>
  </si>
  <si>
    <t>prezentovat projektové metody a postupy pro vytváření informací všem úkolovým týmům</t>
  </si>
  <si>
    <t>Předání metod a postupů tvorby informací v rámci projektu všem úkolovým týmům.</t>
  </si>
  <si>
    <t>6</t>
  </si>
  <si>
    <t>Proces managementu informací - Společné vytváření informací</t>
  </si>
  <si>
    <t>Proces managementu informací – Společné vytváření informací</t>
  </si>
  <si>
    <t>Proces řízení informací - společná tvorba informací</t>
  </si>
  <si>
    <t>ISO 19650-2; 5.6</t>
  </si>
  <si>
    <t>6.1</t>
  </si>
  <si>
    <t>Kontrola dostupnosti refernnčích informací a sdílených zdrojů</t>
  </si>
  <si>
    <t>Kontrola dostupnosti referenčních informací a sdílených zdrojů</t>
  </si>
  <si>
    <t>ISO 19650-2; 5.6.1</t>
  </si>
  <si>
    <t xml:space="preserve">6.1.1 </t>
  </si>
  <si>
    <t>Kontrola, že příslušné referenční informace a sdílené zdroje jsou k dispozici v rámci projektového CDE</t>
  </si>
  <si>
    <t>Kontrola přístupu k relevantním referenčním informacím a sdíleným zdrojům v rámci projektového společného datového prostředí.</t>
  </si>
  <si>
    <t>Kontrola, zda jsou v rámci společného datového prostředí projektu k dispozici příslušné referenční informace a sdílené zdroje.</t>
  </si>
  <si>
    <t xml:space="preserve">6.1.2 </t>
  </si>
  <si>
    <t>Uvědomění vedoucí pověřené strany a posouzení potenciálního dopadu, jaký nedostupnost referenčních informací a sdílených zdrojů může mít na TIDP</t>
  </si>
  <si>
    <t>informovat vedoucí pověřenou stranu v případě nepřístupných relevantních referenčních informací a sdílených zdrojů a posoudit potenciální dopad, jaký to může mít na TIDP.</t>
  </si>
  <si>
    <t>Informování hlavní pověřené strany a zhodnocení potenciálního dopadu, který by nedostupnost referenčních informací a sdílených zdrojů mohla mít na plán poskytování informací o úkolu (TIDP).</t>
  </si>
  <si>
    <t>6.2</t>
  </si>
  <si>
    <t xml:space="preserve">Tvorba informací </t>
  </si>
  <si>
    <t>Tvorba informací</t>
  </si>
  <si>
    <t>Vytvoření informací</t>
  </si>
  <si>
    <t>ISO 19650-2</t>
  </si>
  <si>
    <t xml:space="preserve">6.2.1 </t>
  </si>
  <si>
    <t>Tvorba informací v souladu s příslušným TIDP</t>
  </si>
  <si>
    <t>tvořit informace v souladu s příslušným TIDP</t>
  </si>
  <si>
    <t>Vytváření informací v souladu s příslušným plánem poskytování informací o úkolu (TIDP)</t>
  </si>
  <si>
    <t>ISO 19650-2; 5.6.2 a)</t>
  </si>
  <si>
    <t xml:space="preserve">6.2.2 </t>
  </si>
  <si>
    <t>Koordinovat a křížovými odkazy propojovat všechny informace s informace misdílenámi v projektovém společném datovém prostředí, v souladu s projektovými metodami a postupy pro vytváření informací</t>
  </si>
  <si>
    <t>koordinovat a křížovými odkazy propojovat všechny informace s informacemi sdílenými v projektovém společném datovém prostředí, v souladu s projektovými metodami a postupy pro vytváření informací</t>
  </si>
  <si>
    <t>Koordinovace a porovnávání všech informací s informacemi sdílenými v rámci společného datového prostředí projektu v souladu s metodami a postupy tvorby informací v rámci projektu.</t>
  </si>
  <si>
    <t>ISO 19650-2; 5.6.2 c)</t>
  </si>
  <si>
    <t xml:space="preserve">6.2.3 </t>
  </si>
  <si>
    <t>Prostorově koordinovat geometrické modely s dalšími geometrickými modely sdílenými s příslušnou vhodností použití, umístěnými v projektovém společném datovém prostředí</t>
  </si>
  <si>
    <t>prostorově koordinovat geometrické modely s dalšími geometrickými modely sdílenými s příslušnou vhodností použití, umístěnými v projektovém společném datovém prostředí</t>
  </si>
  <si>
    <t>Prostorová koordinovace geometrických modelů s jinými geometrickými modely sdílenými s příslušnou vhodností, které se nacházejí v rámci společného datového prostředí projektu.</t>
  </si>
  <si>
    <t>ISO 19650-2; 5.6.2 d)</t>
  </si>
  <si>
    <t>6.3</t>
  </si>
  <si>
    <t>Provedení kontroly prokazování kvality</t>
  </si>
  <si>
    <t>Provádění kontroly zajištění kvality</t>
  </si>
  <si>
    <t>ISO 19650-2; 5.6.3</t>
  </si>
  <si>
    <t xml:space="preserve">6.3.1 </t>
  </si>
  <si>
    <t>Provedení kontroly prokazování kvality u každého informačního kontejneru v souladu s projektovými metodami a postupy vytváření informací projektu před provedením přezkoumání v něm obsažených informací</t>
  </si>
  <si>
    <t>provést kontrolu způsobu prokazování kvality u každého informačního kontejneru před provedením přezkoumání v něm obsažených informací </t>
  </si>
  <si>
    <t>Provádění kontroly zajištění kvality každého informačního kontejneru v souladu s metodami a postupy tvorby informací projektu před provedením přezkumu informací v něm obsažených.</t>
  </si>
  <si>
    <t>6.4</t>
  </si>
  <si>
    <t>Přezkoumání informací a schválení pro sdílení</t>
  </si>
  <si>
    <t>Přezkoumávání informací a schvalování</t>
  </si>
  <si>
    <t>Přezkoumání informací a schválení jejich sdílení</t>
  </si>
  <si>
    <t>ISO 19650-2; 5.6.4</t>
  </si>
  <si>
    <t xml:space="preserve">6.4.1 </t>
  </si>
  <si>
    <t>Přezkoumání informací uvnitř informačního kontejneru v souladu s projektovými metodami a postupy pro vytváření informací před jeho sdílením v rámci projektového společného datového prostředí</t>
  </si>
  <si>
    <t>provést přezkoumání informací uvnitř informačního kontejneru před jeho sdílením v rámci projektového společného datového prostředí</t>
  </si>
  <si>
    <t>Provádění kontroly informací v každém informačním kontejneru v souladu s metodami a postupy tvorby informací projektu před jejich sdílením ve společném datovém prostředí projektu.</t>
  </si>
  <si>
    <t>6.5.</t>
  </si>
  <si>
    <t>Přezkoumání informačního modelu</t>
  </si>
  <si>
    <t>ISO 19650-2; 5.6.5</t>
  </si>
  <si>
    <t xml:space="preserve">6.5.1 </t>
  </si>
  <si>
    <t>Přezkoumání informačního modelu v souladu s produktovými metodami a postupy pro vytváření informací, aby byla umožněna průběžná koordinace informací v rozsahu všech součástí informačního modelu</t>
  </si>
  <si>
    <t>provést přezkoumání informačního modelu v souladu s projektovými metodami a postupy pro vytváření informací, aby umožnil průběžnou koordinaci informací v rozsahu všech součástí informačního modelu</t>
  </si>
  <si>
    <t>Přezkoumání informačního modelu v souladu s metodami a postupy tvorby informací v rámci projektu, aby se usnadnila průběžná koordinace informací v každém prvku informačního modelu.</t>
  </si>
  <si>
    <t>7</t>
  </si>
  <si>
    <t>Proces managementu informací - Předání informačního modelu</t>
  </si>
  <si>
    <t>Proces managementu informací – Předání informačního modelu</t>
  </si>
  <si>
    <t>Proces správy informací - poskytování informačních modelů</t>
  </si>
  <si>
    <t>ISO 19650-2; 5.7</t>
  </si>
  <si>
    <t>7.1</t>
  </si>
  <si>
    <t>Předložení informačního modelu pro autorizování vedoucí pověřenou stranou</t>
  </si>
  <si>
    <t>Předložení informačního modelu k autorizaci vedoucí pověřené strany</t>
  </si>
  <si>
    <t>ISO 19650-2; 5.7.1</t>
  </si>
  <si>
    <t xml:space="preserve">7.1.1 </t>
  </si>
  <si>
    <t>Předložení informací vedoucí pověřené straně v rámci projektového společného datového prostředí pro autorizování před předáním informačního modelu pověřující straně</t>
  </si>
  <si>
    <t>předložení informací v rámci projektového společného datového prostředí vedoucí pověřené straně pro autorizování</t>
  </si>
  <si>
    <t>Předložení informací vedoucí pověřené straně k autorizaci v rámci společného datového prostředí projektu.</t>
  </si>
  <si>
    <t>7.2</t>
  </si>
  <si>
    <t>Přezkoumání a autorizování informačního modelu</t>
  </si>
  <si>
    <t>Přezkoumání a autorizace informačního modelu</t>
  </si>
  <si>
    <t>ISO 19650-2; 5.7.2</t>
  </si>
  <si>
    <t xml:space="preserve">7.2.1 </t>
  </si>
  <si>
    <t>Přezkoumání informačního modelu v souladu s projektovými metodami a postupy pro vytváření informací</t>
  </si>
  <si>
    <t>přezkoumání informačního modelu v souladu s projektovými metodami a postupy pro vytváření informací</t>
  </si>
  <si>
    <t>Přezkoumání informačního modelu v souladu s metodami a postupy tvorby informací v rámci projektu</t>
  </si>
  <si>
    <t>7.3</t>
  </si>
  <si>
    <t>Předložení infromačního modelu pro akceptaci pověřující stranou</t>
  </si>
  <si>
    <t>Předložení informačního modelu pro akceptaci pověřující stranou</t>
  </si>
  <si>
    <t>Předložení informačního modelu k přijetí pověřující stranou</t>
  </si>
  <si>
    <t>ISO 19650-2; 5.7.3</t>
  </si>
  <si>
    <t xml:space="preserve">7.3.1 </t>
  </si>
  <si>
    <t>Předložení informačního modelu vedoucí pověřené straně pro autorizování v rámci projektového CDE</t>
  </si>
  <si>
    <t>předložit informace v rámci projektového společného datového prostředí pověřující straně k přezkoumání a akceptaci.</t>
  </si>
  <si>
    <t>Předložení informací k přezkoumání a přijetí pověřující stranou v rámci společného datového prostředí projektu.</t>
  </si>
  <si>
    <t>7.4</t>
  </si>
  <si>
    <t>Přezkoumání a akceptace informačního modelu</t>
  </si>
  <si>
    <t>Přezkoumání a přijetí informačního modelu</t>
  </si>
  <si>
    <t>ISO 19650-2; 5.7.4</t>
  </si>
  <si>
    <t xml:space="preserve">7.4.1 </t>
  </si>
  <si>
    <t>Přezkoumání informačního modelu v souladu s projektovámi metodami a postupy pro vytváření informací</t>
  </si>
  <si>
    <t>přezkoumání informačního modelu v souladu s projektovými metodami a postupy pro vytváření informací.</t>
  </si>
  <si>
    <t xml:space="preserve">Přezkoumání informačního modelu v souladu s metodami a postupy tvorby informací v rámci projektu </t>
  </si>
  <si>
    <t xml:space="preserve">7.4.2 </t>
  </si>
  <si>
    <t>Vypracování zprávy při každé výměně informací o provedeném přezkumu informačního modelu</t>
  </si>
  <si>
    <t>Při každém předání informačního modelu vypracovat zprávu o provedeném přezkumu informačního modelu.</t>
  </si>
  <si>
    <t>Vypracování zprávy o provedeném přezkumu informačního modelu při každé výměně informací</t>
  </si>
  <si>
    <t>8</t>
  </si>
  <si>
    <t>Proces managementu informací - Uzavření projektu</t>
  </si>
  <si>
    <t>Proces managementu informací – Uzavření projektu</t>
  </si>
  <si>
    <t>Proces řízení informací - uzavření projektu</t>
  </si>
  <si>
    <t>ISO 19650-2; 5.8</t>
  </si>
  <si>
    <t>8.1</t>
  </si>
  <si>
    <t>Archivování projektového informačního modelu</t>
  </si>
  <si>
    <t>Archivace informačního model projektu</t>
  </si>
  <si>
    <t>ISO 19650-2; 5.8.1</t>
  </si>
  <si>
    <t xml:space="preserve">8.1.1 </t>
  </si>
  <si>
    <t>Archivování informačních kontejnerů v projektovém CDE v souladu s projektovými metodami a postupy pro vytváření informací</t>
  </si>
  <si>
    <t>Archvování informačních kontejnerů v projektovém společném datovém prostředí v souladu s projektovými metodami a postupy pro vytváření informací</t>
  </si>
  <si>
    <t>Archivace informačních kontejnerů v rámci společného datového prostředí projektu v souladu s metodami a postupy tvorby informací projektu.</t>
  </si>
  <si>
    <t>8.2</t>
  </si>
  <si>
    <t>Zachycení ponaučení pro budoucí projekty</t>
  </si>
  <si>
    <t>Zachycení získaných zkušeností pro budoucí projekty</t>
  </si>
  <si>
    <t xml:space="preserve">8.2.1 </t>
  </si>
  <si>
    <t>Uspořádání a řízení workshopu o ponaučeních (nebo zahrnutí ponaučení do jiných dohodnutých workshopů) v souladu s workshopy uvedenými v harmonogramu projektu</t>
  </si>
  <si>
    <t>Uspořádat a vést workshop o získaných zkušenostech (nebo zahrnout získané zkušenosti do jiných dohodnutých workshopů) v souladu s workshopy uvedenými v programu projektu.</t>
  </si>
  <si>
    <t>Uspořádání a vedení semináře o získaných zkušenostech (nebo zahrnutí získaných zkušeností do jiných dohodnutých seminářů) v souladu se semináři uvedenými v programu projektu.</t>
  </si>
  <si>
    <t xml:space="preserve">8.2.2 </t>
  </si>
  <si>
    <t>Zachycení ponaučení během projektu (pomocí šablony ponaučení). Získané poznatky by měly být udržovány v průběhu projektu a nahrány do projektového CDE nebo jiného dohodnutého centrálního úložiště znalostí</t>
  </si>
  <si>
    <t>Zachycování ponaučení pro budoucí projekty (s využitím šablony pro ponaučení) v průběhu projektu. Ponaučení pro budoucí projekty mají být zachycována v celém průběhu projektu a nahrávána na společné datové prostředí nebo jiný zdroj sdílených znalostí.</t>
  </si>
  <si>
    <t>Záznam získaných zkušeností v průběhu projektu. Získané zkušenosti by měly být uchovávány po celou dobu projektu a nahrány do společného datového prostředí projektu nebo jiného dohodnutého centrálního úložiště znalostí.</t>
  </si>
  <si>
    <t>ISO 19650-2; 5.8.2</t>
  </si>
  <si>
    <t>Nápln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</si>
</sst>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  <scheme val="minor"/>
    </font>
    <font>
      <sz val="9"/>
      <color theme="1"/>
      <name val="Arial"/>
      <family val="2"/>
      <charset val="238"/>
      <scheme val="minor"/>
    </font>
    <font>
      <sz val="9"/>
      <color rgb="FF000000"/>
      <name val="Arial"/>
      <family val="2"/>
      <charset val="238"/>
      <scheme val="minor"/>
    </font>
    <font>
      <sz val="10"/>
      <color rgb="FF000000"/>
      <name val="Arial"/>
      <family val="2"/>
      <charset val="238"/>
      <scheme val="minor"/>
    </font>
    <font>
      <b/>
      <sz val="10"/>
      <color rgb="FF000000"/>
      <name val="Arial"/>
      <family val="2"/>
      <charset val="238"/>
      <scheme val="minor"/>
    </font>
    <font>
      <b/>
      <sz val="9"/>
      <color theme="1"/>
      <name val="Arial"/>
      <family val="2"/>
      <charset val="238"/>
      <scheme val="minor"/>
    </font>
    <font>
      <sz val="9"/>
      <color theme="0"/>
      <name val="Arial"/>
      <family val="2"/>
      <charset val="238"/>
      <scheme val="minor"/>
    </font>
    <font>
      <b/>
      <sz val="9"/>
      <color theme="0"/>
      <name val="Arial"/>
      <family val="2"/>
      <charset val="238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i/>
      <sz val="9"/>
      <color theme="1"/>
      <name val="Arial"/>
      <family val="2"/>
      <charset val="238"/>
      <scheme val="minor"/>
    </font>
    <font>
      <b/>
      <i/>
      <sz val="10"/>
      <color rgb="FF000000"/>
      <name val="Arial"/>
      <family val="2"/>
      <charset val="238"/>
      <scheme val="minor"/>
    </font>
    <font>
      <b/>
      <sz val="10"/>
      <name val="Arial"/>
      <family val="2"/>
      <charset val="238"/>
    </font>
    <font>
      <sz val="9"/>
      <color theme="1"/>
      <name val="Arial"/>
      <family val="2"/>
      <scheme val="minor"/>
    </font>
    <font>
      <sz val="9"/>
      <color rgb="FF000000"/>
      <name val="Arial"/>
      <family val="2"/>
      <scheme val="minor"/>
    </font>
    <font>
      <b/>
      <sz val="9"/>
      <color theme="1"/>
      <name val="Arial"/>
      <family val="2"/>
      <scheme val="minor"/>
    </font>
    <font>
      <sz val="9"/>
      <name val="Arial"/>
      <family val="2"/>
      <scheme val="minor"/>
    </font>
    <font>
      <b/>
      <sz val="9"/>
      <name val="Arial"/>
      <family val="2"/>
      <scheme val="minor"/>
    </font>
    <font>
      <sz val="8"/>
      <color theme="0"/>
      <name val="Arial"/>
      <family val="2"/>
      <charset val="238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rgb="FFFFFF00"/>
      </patternFill>
    </fill>
    <fill>
      <patternFill patternType="solid">
        <fgColor rgb="FF1688B4"/>
        <bgColor rgb="FF8E7CC3"/>
      </patternFill>
    </fill>
    <fill>
      <patternFill patternType="solid">
        <fgColor rgb="FF57CAF4"/>
        <bgColor rgb="FFC27BA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7">
    <xf numFmtId="0" fontId="0" fillId="0" borderId="0"/>
    <xf numFmtId="49" fontId="8" fillId="9" borderId="4" applyBorder="0" applyAlignment="0">
      <alignment horizontal="left" vertical="top"/>
    </xf>
    <xf numFmtId="49" fontId="8" fillId="10" borderId="4" applyBorder="0" applyAlignment="0">
      <alignment horizontal="left" vertical="top"/>
    </xf>
    <xf numFmtId="49" fontId="9" fillId="3" borderId="3" applyBorder="0" applyAlignment="0">
      <alignment horizontal="center" vertical="top"/>
    </xf>
    <xf numFmtId="0" fontId="12" fillId="3" borderId="5" applyFont="0" applyBorder="0" applyAlignment="0">
      <alignment horizontal="center" vertical="center" textRotation="90" wrapText="1"/>
    </xf>
    <xf numFmtId="0" fontId="12" fillId="3" borderId="5" applyFont="0" applyBorder="0" applyAlignment="0">
      <alignment horizontal="center" vertical="center" textRotation="90" wrapText="1"/>
    </xf>
    <xf numFmtId="0" fontId="12" fillId="3" borderId="5" applyFont="0" applyBorder="0" applyAlignment="0">
      <alignment horizontal="center" vertical="center" textRotation="90" wrapText="1"/>
    </xf>
  </cellStyleXfs>
  <cellXfs count="84">
    <xf numFmtId="0" fontId="0" fillId="0" borderId="0" xfId="0"/>
    <xf numFmtId="0" fontId="1" fillId="0" borderId="0" xfId="0" applyFont="1" applyAlignment="1">
      <alignment horizontal="center" vertical="center" textRotation="90" wrapText="1"/>
    </xf>
    <xf numFmtId="0" fontId="2" fillId="0" borderId="0" xfId="0" applyFont="1"/>
    <xf numFmtId="0" fontId="2" fillId="0" borderId="0" xfId="0" applyFont="1" applyAlignment="1">
      <alignment wrapText="1"/>
    </xf>
    <xf numFmtId="0" fontId="1" fillId="3" borderId="0" xfId="0" applyFont="1" applyFill="1" applyAlignment="1">
      <alignment horizontal="center" vertical="center" textRotation="90" wrapText="1"/>
    </xf>
    <xf numFmtId="49" fontId="0" fillId="3" borderId="0" xfId="0" applyNumberFormat="1" applyFill="1"/>
    <xf numFmtId="49" fontId="1" fillId="3" borderId="0" xfId="0" applyNumberFormat="1" applyFont="1" applyFill="1" applyAlignment="1">
      <alignment horizontal="center" vertical="center" textRotation="90" wrapText="1"/>
    </xf>
    <xf numFmtId="49" fontId="0" fillId="2" borderId="1" xfId="0" applyNumberFormat="1" applyFill="1" applyBorder="1" applyAlignment="1">
      <alignment horizontal="center" vertical="center"/>
    </xf>
    <xf numFmtId="49" fontId="0" fillId="0" borderId="0" xfId="0" applyNumberFormat="1"/>
    <xf numFmtId="49" fontId="0" fillId="4" borderId="1" xfId="0" applyNumberFormat="1" applyFill="1" applyBorder="1" applyAlignment="1">
      <alignment horizontal="center" vertical="center"/>
    </xf>
    <xf numFmtId="0" fontId="4" fillId="0" borderId="0" xfId="0" applyFont="1"/>
    <xf numFmtId="0" fontId="6" fillId="5" borderId="1" xfId="0" applyFont="1" applyFill="1" applyBorder="1" applyAlignment="1">
      <alignment horizontal="center" vertical="center" textRotation="90"/>
    </xf>
    <xf numFmtId="0" fontId="6" fillId="6" borderId="1" xfId="0" applyFont="1" applyFill="1" applyBorder="1" applyAlignment="1">
      <alignment horizontal="center" vertical="center" textRotation="90"/>
    </xf>
    <xf numFmtId="49" fontId="4" fillId="4" borderId="2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4" fillId="0" borderId="0" xfId="0" applyNumberFormat="1" applyFont="1"/>
    <xf numFmtId="0" fontId="1" fillId="0" borderId="0" xfId="0" applyFont="1" applyAlignment="1">
      <alignment horizontal="right" vertical="center"/>
    </xf>
    <xf numFmtId="0" fontId="1" fillId="4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vertical="center" wrapText="1"/>
    </xf>
    <xf numFmtId="0" fontId="10" fillId="2" borderId="7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horizontal="center" vertical="center" textRotation="90" wrapText="1"/>
    </xf>
    <xf numFmtId="0" fontId="13" fillId="3" borderId="1" xfId="0" applyFont="1" applyFill="1" applyBorder="1" applyAlignment="1">
      <alignment horizontal="center" vertical="center" textRotation="90"/>
    </xf>
    <xf numFmtId="49" fontId="13" fillId="3" borderId="1" xfId="3" applyFont="1" applyBorder="1" applyAlignment="1">
      <alignment vertical="top" wrapText="1"/>
    </xf>
    <xf numFmtId="0" fontId="13" fillId="2" borderId="1" xfId="0" applyFont="1" applyFill="1" applyBorder="1" applyAlignment="1">
      <alignment vertical="center" wrapText="1"/>
    </xf>
    <xf numFmtId="0" fontId="16" fillId="2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wrapText="1"/>
    </xf>
    <xf numFmtId="0" fontId="13" fillId="8" borderId="1" xfId="0" applyFont="1" applyFill="1" applyBorder="1" applyAlignment="1">
      <alignment vertical="center" wrapText="1"/>
    </xf>
    <xf numFmtId="0" fontId="14" fillId="4" borderId="1" xfId="0" applyFont="1" applyFill="1" applyBorder="1" applyAlignment="1">
      <alignment wrapText="1"/>
    </xf>
    <xf numFmtId="0" fontId="17" fillId="4" borderId="1" xfId="0" applyFont="1" applyFill="1" applyBorder="1" applyAlignment="1">
      <alignment vertical="center" wrapText="1"/>
    </xf>
    <xf numFmtId="49" fontId="15" fillId="4" borderId="1" xfId="2" applyFont="1" applyFill="1" applyBorder="1" applyAlignment="1">
      <alignment vertical="top" wrapText="1"/>
    </xf>
    <xf numFmtId="0" fontId="15" fillId="4" borderId="1" xfId="0" applyFont="1" applyFill="1" applyBorder="1" applyAlignment="1">
      <alignment vertical="center" wrapText="1"/>
    </xf>
    <xf numFmtId="49" fontId="4" fillId="12" borderId="2" xfId="0" applyNumberFormat="1" applyFont="1" applyFill="1" applyBorder="1" applyAlignment="1">
      <alignment horizontal="center" vertical="center"/>
    </xf>
    <xf numFmtId="0" fontId="5" fillId="12" borderId="9" xfId="0" applyFont="1" applyFill="1" applyBorder="1" applyAlignment="1">
      <alignment vertical="center" wrapText="1"/>
    </xf>
    <xf numFmtId="49" fontId="15" fillId="12" borderId="1" xfId="1" applyFont="1" applyFill="1" applyBorder="1" applyAlignment="1">
      <alignment vertical="top" wrapText="1"/>
    </xf>
    <xf numFmtId="0" fontId="15" fillId="12" borderId="1" xfId="0" applyFont="1" applyFill="1" applyBorder="1" applyAlignment="1">
      <alignment vertical="center" wrapText="1"/>
    </xf>
    <xf numFmtId="0" fontId="15" fillId="4" borderId="1" xfId="0" applyFont="1" applyFill="1" applyBorder="1" applyAlignment="1">
      <alignment horizontal="left" vertical="center" wrapText="1"/>
    </xf>
    <xf numFmtId="49" fontId="3" fillId="12" borderId="1" xfId="0" applyNumberFormat="1" applyFont="1" applyFill="1" applyBorder="1" applyAlignment="1">
      <alignment horizontal="center" vertical="center"/>
    </xf>
    <xf numFmtId="0" fontId="5" fillId="12" borderId="7" xfId="0" applyFont="1" applyFill="1" applyBorder="1" applyAlignment="1">
      <alignment vertical="center" wrapText="1"/>
    </xf>
    <xf numFmtId="0" fontId="15" fillId="12" borderId="1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horizontal="center" vertical="center" textRotation="90" wrapText="1"/>
    </xf>
    <xf numFmtId="49" fontId="13" fillId="2" borderId="1" xfId="3" applyFont="1" applyFill="1" applyBorder="1" applyAlignment="1">
      <alignment vertical="top" wrapText="1"/>
    </xf>
    <xf numFmtId="0" fontId="5" fillId="12" borderId="8" xfId="0" applyFont="1" applyFill="1" applyBorder="1" applyAlignment="1">
      <alignment vertical="center" wrapText="1"/>
    </xf>
    <xf numFmtId="0" fontId="1" fillId="4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6" fillId="5" borderId="10" xfId="0" applyFont="1" applyFill="1" applyBorder="1" applyAlignment="1">
      <alignment horizontal="center" vertical="center" textRotation="90"/>
    </xf>
    <xf numFmtId="0" fontId="6" fillId="6" borderId="10" xfId="0" applyFont="1" applyFill="1" applyBorder="1" applyAlignment="1">
      <alignment horizontal="center" vertical="center" textRotation="90"/>
    </xf>
    <xf numFmtId="0" fontId="6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11" borderId="1" xfId="4" applyFont="1" applyFill="1" applyBorder="1" applyAlignment="1">
      <alignment horizontal="center" vertical="center" textRotation="90" wrapText="1"/>
    </xf>
    <xf numFmtId="0" fontId="6" fillId="11" borderId="1" xfId="5" applyFont="1" applyFill="1" applyBorder="1" applyAlignment="1">
      <alignment horizontal="center" vertical="center" textRotation="90" wrapText="1"/>
    </xf>
    <xf numFmtId="0" fontId="6" fillId="7" borderId="1" xfId="0" applyFont="1" applyFill="1" applyBorder="1" applyAlignment="1">
      <alignment horizontal="center" vertical="center" textRotation="90"/>
    </xf>
    <xf numFmtId="0" fontId="6" fillId="11" borderId="1" xfId="6" applyFont="1" applyFill="1" applyBorder="1" applyAlignment="1">
      <alignment horizontal="center" vertical="center" textRotation="90" wrapText="1"/>
    </xf>
    <xf numFmtId="0" fontId="6" fillId="11" borderId="10" xfId="4" applyFont="1" applyFill="1" applyBorder="1" applyAlignment="1">
      <alignment horizontal="center" vertical="center" textRotation="90" wrapText="1"/>
    </xf>
    <xf numFmtId="0" fontId="6" fillId="11" borderId="10" xfId="5" applyFont="1" applyFill="1" applyBorder="1" applyAlignment="1">
      <alignment horizontal="center" vertical="center" textRotation="90" wrapText="1"/>
    </xf>
    <xf numFmtId="0" fontId="6" fillId="7" borderId="10" xfId="0" applyFont="1" applyFill="1" applyBorder="1" applyAlignment="1">
      <alignment horizontal="center" vertical="center" textRotation="90"/>
    </xf>
    <xf numFmtId="0" fontId="6" fillId="11" borderId="10" xfId="6" applyFont="1" applyFill="1" applyBorder="1" applyAlignment="1">
      <alignment horizontal="center" vertical="center" textRotation="90" wrapText="1"/>
    </xf>
    <xf numFmtId="49" fontId="6" fillId="11" borderId="6" xfId="1" applyFont="1" applyFill="1" applyBorder="1" applyAlignment="1">
      <alignment horizontal="center" vertical="center"/>
    </xf>
    <xf numFmtId="49" fontId="6" fillId="11" borderId="6" xfId="2" applyFont="1" applyFill="1" applyBorder="1" applyAlignment="1">
      <alignment horizontal="center" vertical="center"/>
    </xf>
    <xf numFmtId="0" fontId="6" fillId="11" borderId="6" xfId="4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/>
    </xf>
    <xf numFmtId="0" fontId="6" fillId="11" borderId="6" xfId="4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11" borderId="6" xfId="5" applyFont="1" applyFill="1" applyBorder="1" applyAlignment="1">
      <alignment horizontal="center" vertical="center"/>
    </xf>
    <xf numFmtId="0" fontId="6" fillId="11" borderId="6" xfId="6" applyFont="1" applyFill="1" applyBorder="1" applyAlignment="1">
      <alignment horizontal="center" vertical="center"/>
    </xf>
    <xf numFmtId="0" fontId="18" fillId="11" borderId="1" xfId="4" applyFont="1" applyFill="1" applyBorder="1" applyAlignment="1">
      <alignment horizontal="center" vertical="center" textRotation="90" wrapText="1"/>
    </xf>
    <xf numFmtId="0" fontId="18" fillId="11" borderId="10" xfId="4" applyFont="1" applyFill="1" applyBorder="1" applyAlignment="1">
      <alignment horizontal="center" vertical="center" textRotation="90" wrapText="1"/>
    </xf>
    <xf numFmtId="49" fontId="18" fillId="11" borderId="6" xfId="1" applyFont="1" applyFill="1" applyBorder="1" applyAlignment="1">
      <alignment horizontal="center" vertical="center"/>
    </xf>
    <xf numFmtId="49" fontId="18" fillId="11" borderId="6" xfId="2" applyFont="1" applyFill="1" applyBorder="1" applyAlignment="1">
      <alignment horizontal="center" vertical="center"/>
    </xf>
    <xf numFmtId="0" fontId="18" fillId="11" borderId="6" xfId="4" applyFont="1" applyFill="1" applyBorder="1" applyAlignment="1">
      <alignment horizontal="center" vertical="center"/>
    </xf>
    <xf numFmtId="0" fontId="18" fillId="11" borderId="6" xfId="0" applyFont="1" applyFill="1" applyBorder="1" applyAlignment="1">
      <alignment horizontal="center" vertical="center"/>
    </xf>
    <xf numFmtId="0" fontId="18" fillId="11" borderId="6" xfId="4" applyFont="1" applyFill="1" applyBorder="1" applyAlignment="1">
      <alignment horizontal="center" vertical="center" wrapText="1"/>
    </xf>
    <xf numFmtId="0" fontId="18" fillId="11" borderId="2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49" fontId="4" fillId="12" borderId="1" xfId="0" applyNumberFormat="1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7">
    <cellStyle name="Činnost 1" xfId="1" xr:uid="{758229F4-0AFD-4380-862E-48DB1F9EB3ED}"/>
    <cellStyle name="Činnost 2" xfId="2" xr:uid="{C2E827EC-36DF-40C7-BADE-403F482C933C}"/>
    <cellStyle name="Činnost 3" xfId="3" xr:uid="{2B8AC735-21E0-4756-AEDC-BDD5B9879806}"/>
    <cellStyle name="Normální" xfId="0" builtinId="0"/>
    <cellStyle name="Pověřená strana" xfId="6" xr:uid="{4B55FFA3-97D8-40C0-8F8A-EEC51E774921}"/>
    <cellStyle name="Pověřující strana" xfId="4" xr:uid="{0B1FDA1A-A8CD-46D2-A651-E4B79E30CE7C}"/>
    <cellStyle name="Vedoucí pověřená strana" xfId="5" xr:uid="{B13041B7-E782-4E5B-9BF7-F56392F24D5F}"/>
  </cellStyles>
  <dxfs count="6">
    <dxf>
      <fill>
        <patternFill patternType="solid">
          <fgColor rgb="FF57CAF4"/>
          <bgColor rgb="FF57CAF4"/>
        </patternFill>
      </fill>
    </dxf>
    <dxf>
      <font>
        <color theme="0"/>
      </font>
      <fill>
        <patternFill patternType="lightGray">
          <fgColor rgb="FF57CAF4"/>
        </patternFill>
      </fill>
    </dxf>
    <dxf>
      <fill>
        <patternFill patternType="darkGray">
          <fgColor rgb="FF1688B4"/>
          <bgColor rgb="FF0070C0"/>
        </patternFill>
      </fill>
    </dxf>
    <dxf>
      <fill>
        <patternFill patternType="lightGray">
          <fgColor rgb="FF1688B4"/>
        </patternFill>
      </fill>
    </dxf>
    <dxf>
      <fill>
        <patternFill>
          <bgColor rgb="FFC00000"/>
        </patternFill>
      </fill>
    </dxf>
    <dxf>
      <font>
        <color theme="0"/>
      </font>
      <fill>
        <patternFill patternType="lightGray">
          <fgColor rgb="FFC00000"/>
        </patternFill>
      </fill>
    </dxf>
  </dxfs>
  <tableStyles count="0" defaultTableStyle="TableStyleMedium2" defaultPivotStyle="PivotStyleLight16"/>
  <colors>
    <mruColors>
      <color rgb="FF57CAF4"/>
      <color rgb="FF1688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n Smolík" id="{B68606BF-D23E-4813-9760-33951D2A2023}" userId="S::smolik@proconom.cz::cec8eef4-3ca2-4081-b7f8-a2b1280a2165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5" dT="2023-11-03T11:48:58.39" personId="{B68606BF-D23E-4813-9760-33951D2A2023}" id="{17E9333C-59DC-40A7-8224-76F32F04AD1D}">
    <text>Projektový manažer nebo projektový manažer BIM?</text>
  </threadedComment>
  <threadedComment ref="P5" dT="2023-11-03T10:59:34.36" personId="{B68606BF-D23E-4813-9760-33951D2A2023}" id="{F2F1AE31-D41C-4F3D-BB3F-F31EEC07AFD5}">
    <text>Má to být HIP?</text>
  </threadedComment>
  <threadedComment ref="W5" dT="2023-11-03T10:58:11.02" personId="{B68606BF-D23E-4813-9760-33951D2A2023}" id="{857953BA-D79C-4D94-88D0-00CEC9F2B6B5}">
    <text>Vedoucí modelář BIM?</text>
  </threadedComment>
  <threadedComment ref="A6" dT="2023-11-03T20:02:12.42" personId="{B68606BF-D23E-4813-9760-33951D2A2023}" id="{0BE519CF-B024-46B1-8C7B-C0860BE15B9E}">
    <text>Tučně je to, co už jsem zvalidoval</text>
  </threadedComment>
  <threadedComment ref="B49" dT="2023-11-03T22:25:06.01" personId="{B68606BF-D23E-4813-9760-33951D2A2023}" id="{05066C7A-2F2F-47A2-9F02-DD82BFB2BCBD}">
    <text>Tady by mě zajímalo, jak k tomu přistupujete</text>
  </threadedComment>
  <threadedComment ref="B50" dT="2023-11-03T22:24:50.28" personId="{B68606BF-D23E-4813-9760-33951D2A2023}" id="{A41E4B98-68B5-44E9-A274-9187AB588126}">
    <text>Co to vlastně přesně znamená?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92"/>
  <sheetViews>
    <sheetView showGridLines="0" tabSelected="1" zoomScaleNormal="100" workbookViewId="0">
      <pane ySplit="5" topLeftCell="A6" activePane="bottomLeft" state="frozen"/>
      <selection pane="bottomLeft" activeCell="B7" sqref="B7"/>
    </sheetView>
  </sheetViews>
  <sheetFormatPr defaultColWidth="12.5546875" defaultRowHeight="13.2" x14ac:dyDescent="0.25"/>
  <cols>
    <col min="1" max="1" width="6.6640625" style="8" customWidth="1"/>
    <col min="2" max="2" width="39.6640625" style="2" customWidth="1"/>
    <col min="3" max="3" width="31.109375" style="31" customWidth="1"/>
    <col min="4" max="4" width="52.21875" style="31" customWidth="1"/>
    <col min="5" max="5" width="11.5546875" style="3" bestFit="1" customWidth="1"/>
    <col min="6" max="6" width="3.44140625" style="83" customWidth="1"/>
    <col min="7" max="7" width="4.6640625" style="79" customWidth="1"/>
    <col min="8" max="8" width="3.6640625" style="18" bestFit="1" customWidth="1"/>
    <col min="9" max="9" width="3.88671875" style="79" customWidth="1"/>
    <col min="10" max="10" width="3.6640625" style="18" customWidth="1"/>
    <col min="11" max="11" width="3.109375" style="18" customWidth="1"/>
    <col min="12" max="12" width="8.88671875" style="68" customWidth="1"/>
    <col min="13" max="15" width="3.109375" style="18" customWidth="1"/>
    <col min="16" max="16" width="3.6640625" style="18" customWidth="1"/>
    <col min="17" max="17" width="5.88671875" style="68" bestFit="1" customWidth="1"/>
    <col min="18" max="18" width="3.6640625" style="18" customWidth="1"/>
    <col min="19" max="19" width="5.88671875" style="68" bestFit="1" customWidth="1"/>
    <col min="20" max="20" width="3.6640625" style="18" customWidth="1"/>
    <col min="21" max="21" width="5.88671875" style="68" bestFit="1" customWidth="1"/>
    <col min="22" max="22" width="3.109375" style="18" customWidth="1"/>
    <col min="23" max="23" width="3" style="18" customWidth="1"/>
    <col min="24" max="24" width="5.88671875" style="68" bestFit="1" customWidth="1"/>
    <col min="25" max="25" width="3" style="18" customWidth="1"/>
    <col min="26" max="26" width="3.33203125" style="68" bestFit="1" customWidth="1"/>
  </cols>
  <sheetData>
    <row r="1" spans="1:26" ht="13.8" x14ac:dyDescent="0.25">
      <c r="A1" s="5"/>
      <c r="B1" s="4"/>
      <c r="C1" s="26"/>
      <c r="D1" s="26"/>
      <c r="E1" s="20" t="s">
        <v>0</v>
      </c>
      <c r="F1" s="11">
        <f t="shared" ref="F1:P1" si="0">COUNTIF(F8:F191,"I")</f>
        <v>0</v>
      </c>
      <c r="G1" s="71">
        <f t="shared" si="0"/>
        <v>6</v>
      </c>
      <c r="H1" s="11">
        <f t="shared" si="0"/>
        <v>9</v>
      </c>
      <c r="I1" s="71">
        <f t="shared" si="0"/>
        <v>16</v>
      </c>
      <c r="J1" s="11">
        <f t="shared" si="0"/>
        <v>2</v>
      </c>
      <c r="K1" s="11">
        <f t="shared" si="0"/>
        <v>0</v>
      </c>
      <c r="L1" s="54">
        <f t="shared" si="0"/>
        <v>0</v>
      </c>
      <c r="M1" s="11">
        <f t="shared" si="0"/>
        <v>0</v>
      </c>
      <c r="N1" s="11">
        <f t="shared" si="0"/>
        <v>0</v>
      </c>
      <c r="O1" s="11">
        <f t="shared" si="0"/>
        <v>0</v>
      </c>
      <c r="P1" s="12">
        <f t="shared" si="0"/>
        <v>12</v>
      </c>
      <c r="Q1" s="55">
        <f>COUNTIF(Q8:Q196,"I")</f>
        <v>0</v>
      </c>
      <c r="R1" s="12">
        <f>COUNTIF(R8:R196,"I")</f>
        <v>9</v>
      </c>
      <c r="S1" s="55">
        <f>COUNTIF(S8:S196,"I")</f>
        <v>31</v>
      </c>
      <c r="T1" s="12"/>
      <c r="U1" s="55">
        <f t="shared" ref="U1:Z1" si="1">COUNTIF(U8:U196,"I")</f>
        <v>0</v>
      </c>
      <c r="V1" s="12">
        <f t="shared" si="1"/>
        <v>0</v>
      </c>
      <c r="W1" s="56">
        <f t="shared" si="1"/>
        <v>35</v>
      </c>
      <c r="X1" s="57">
        <f t="shared" si="1"/>
        <v>29</v>
      </c>
      <c r="Y1" s="56">
        <f t="shared" si="1"/>
        <v>35</v>
      </c>
      <c r="Z1" s="57">
        <f t="shared" si="1"/>
        <v>18</v>
      </c>
    </row>
    <row r="2" spans="1:26" ht="13.8" x14ac:dyDescent="0.25">
      <c r="A2" s="5"/>
      <c r="B2" s="4"/>
      <c r="C2" s="26"/>
      <c r="D2" s="26"/>
      <c r="E2" s="20" t="s">
        <v>1</v>
      </c>
      <c r="F2" s="11">
        <f t="shared" ref="F2:P2" si="2">COUNTIF(F8:F191,"C")</f>
        <v>0</v>
      </c>
      <c r="G2" s="71">
        <f t="shared" si="2"/>
        <v>9</v>
      </c>
      <c r="H2" s="11">
        <f t="shared" si="2"/>
        <v>0</v>
      </c>
      <c r="I2" s="71">
        <f t="shared" si="2"/>
        <v>0</v>
      </c>
      <c r="J2" s="11">
        <f t="shared" si="2"/>
        <v>0</v>
      </c>
      <c r="K2" s="11">
        <f t="shared" si="2"/>
        <v>0</v>
      </c>
      <c r="L2" s="54">
        <f t="shared" si="2"/>
        <v>4</v>
      </c>
      <c r="M2" s="11">
        <f t="shared" si="2"/>
        <v>11</v>
      </c>
      <c r="N2" s="11">
        <f t="shared" si="2"/>
        <v>0</v>
      </c>
      <c r="O2" s="11">
        <f t="shared" si="2"/>
        <v>0</v>
      </c>
      <c r="P2" s="12">
        <f t="shared" si="2"/>
        <v>2</v>
      </c>
      <c r="Q2" s="55">
        <f>COUNTIF(Q8:Q196,"C")</f>
        <v>0</v>
      </c>
      <c r="R2" s="12">
        <f>COUNTIF(R8:R196,"C")</f>
        <v>0</v>
      </c>
      <c r="S2" s="55">
        <f>COUNTIF(S8:S196,"C")</f>
        <v>5</v>
      </c>
      <c r="T2" s="12"/>
      <c r="U2" s="55">
        <f t="shared" ref="U2:Z2" si="3">COUNTIF(U8:U196,"C")</f>
        <v>0</v>
      </c>
      <c r="V2" s="12">
        <f t="shared" si="3"/>
        <v>0</v>
      </c>
      <c r="W2" s="56">
        <f t="shared" si="3"/>
        <v>13</v>
      </c>
      <c r="X2" s="57">
        <f t="shared" si="3"/>
        <v>29</v>
      </c>
      <c r="Y2" s="56">
        <f t="shared" si="3"/>
        <v>13</v>
      </c>
      <c r="Z2" s="57">
        <f t="shared" si="3"/>
        <v>7</v>
      </c>
    </row>
    <row r="3" spans="1:26" ht="13.8" x14ac:dyDescent="0.25">
      <c r="A3" s="5"/>
      <c r="B3" s="4"/>
      <c r="C3" s="26"/>
      <c r="D3" s="26"/>
      <c r="E3" s="20" t="s">
        <v>2</v>
      </c>
      <c r="F3" s="11">
        <f>COUNTIF(F8:F191,"A/R")+COUNTIF(F8:F191,"A")</f>
        <v>0</v>
      </c>
      <c r="G3" s="71">
        <f>COUNTIF(G8:G191,"A/R")+COUNTIF(G8:G191,"A")</f>
        <v>0</v>
      </c>
      <c r="H3" s="11">
        <f>COUNTIF(H8:H191,"A/R")+COUNTIF(H8:H191,"A")</f>
        <v>47</v>
      </c>
      <c r="I3" s="71">
        <f t="shared" ref="I3:O3" si="4">COUNTIF(I8:I191,"A/R")+COUNTIF(I8:I191,"A")</f>
        <v>0</v>
      </c>
      <c r="J3" s="11">
        <f t="shared" si="4"/>
        <v>2</v>
      </c>
      <c r="K3" s="11">
        <f t="shared" si="4"/>
        <v>7</v>
      </c>
      <c r="L3" s="54">
        <f t="shared" si="4"/>
        <v>2</v>
      </c>
      <c r="M3" s="11">
        <f t="shared" si="4"/>
        <v>0</v>
      </c>
      <c r="N3" s="11">
        <f t="shared" si="4"/>
        <v>0</v>
      </c>
      <c r="O3" s="11">
        <f t="shared" si="4"/>
        <v>0</v>
      </c>
      <c r="P3" s="12">
        <f>COUNTIF(P8:P191,"A/R")+COUNTIF(P8:P191,"A")</f>
        <v>40</v>
      </c>
      <c r="Q3" s="55">
        <f t="shared" ref="Q3:X3" si="5">COUNTIF(Q8:Q191,"A/R")+COUNTIF(Q8:Q191,"A")</f>
        <v>0</v>
      </c>
      <c r="R3" s="12">
        <f t="shared" si="5"/>
        <v>17</v>
      </c>
      <c r="S3" s="55">
        <f t="shared" si="5"/>
        <v>0</v>
      </c>
      <c r="T3" s="12">
        <f t="shared" si="5"/>
        <v>0</v>
      </c>
      <c r="U3" s="55">
        <f t="shared" si="5"/>
        <v>0</v>
      </c>
      <c r="V3" s="12">
        <f t="shared" si="5"/>
        <v>0</v>
      </c>
      <c r="W3" s="56">
        <f t="shared" si="5"/>
        <v>12</v>
      </c>
      <c r="X3" s="57">
        <f t="shared" si="5"/>
        <v>7</v>
      </c>
      <c r="Y3" s="56">
        <f t="shared" ref="Y3:Z3" si="6">COUNTIF(Y8:Y191,"A/R")+COUNTIF(Y8:Y191,"A")</f>
        <v>12</v>
      </c>
      <c r="Z3" s="57">
        <f t="shared" si="6"/>
        <v>0</v>
      </c>
    </row>
    <row r="4" spans="1:26" ht="13.8" x14ac:dyDescent="0.25">
      <c r="A4" s="6"/>
      <c r="B4" s="4"/>
      <c r="C4" s="26"/>
      <c r="D4" s="27"/>
      <c r="E4" s="20" t="s">
        <v>3</v>
      </c>
      <c r="F4" s="11">
        <f>COUNTIF(F8:F191,"A/R")+COUNTIF(F8:F191,"R")</f>
        <v>0</v>
      </c>
      <c r="G4" s="71">
        <f>COUNTIF(G8:G191,"A/R")+COUNTIF(G8:G191,"R")</f>
        <v>5</v>
      </c>
      <c r="H4" s="11">
        <f>COUNTIF(H8:H191,"A/R")+COUNTIF(H8:H191,"R")</f>
        <v>59</v>
      </c>
      <c r="I4" s="71">
        <f t="shared" ref="I4:O4" si="7">COUNTIF(I8:I191,"A/R")+COUNTIF(I8:I191,"R")</f>
        <v>60</v>
      </c>
      <c r="J4" s="11">
        <f t="shared" si="7"/>
        <v>2</v>
      </c>
      <c r="K4" s="11">
        <f t="shared" si="7"/>
        <v>4</v>
      </c>
      <c r="L4" s="54">
        <f t="shared" si="7"/>
        <v>8</v>
      </c>
      <c r="M4" s="11">
        <f t="shared" si="7"/>
        <v>0</v>
      </c>
      <c r="N4" s="11">
        <f t="shared" si="7"/>
        <v>0</v>
      </c>
      <c r="O4" s="11">
        <f t="shared" si="7"/>
        <v>0</v>
      </c>
      <c r="P4" s="12">
        <f>COUNTIF(P8:P191,"A/R")+COUNTIF(P8:P191,"R")</f>
        <v>52</v>
      </c>
      <c r="Q4" s="55">
        <f t="shared" ref="Q4:X4" si="8">COUNTIF(Q8:Q191,"A/R")+COUNTIF(Q8:Q191,"R")</f>
        <v>7</v>
      </c>
      <c r="R4" s="12">
        <f t="shared" si="8"/>
        <v>5</v>
      </c>
      <c r="S4" s="55">
        <f t="shared" si="8"/>
        <v>68</v>
      </c>
      <c r="T4" s="12">
        <f t="shared" si="8"/>
        <v>0</v>
      </c>
      <c r="U4" s="55">
        <f t="shared" si="8"/>
        <v>0</v>
      </c>
      <c r="V4" s="12">
        <f t="shared" si="8"/>
        <v>0</v>
      </c>
      <c r="W4" s="56">
        <f t="shared" si="8"/>
        <v>12</v>
      </c>
      <c r="X4" s="57">
        <f t="shared" si="8"/>
        <v>14</v>
      </c>
      <c r="Y4" s="56">
        <f t="shared" ref="Y4:Z4" si="9">COUNTIF(Y8:Y191,"A/R")+COUNTIF(Y8:Y191,"R")</f>
        <v>12</v>
      </c>
      <c r="Z4" s="57">
        <f t="shared" si="9"/>
        <v>5</v>
      </c>
    </row>
    <row r="5" spans="1:26" ht="168.6" x14ac:dyDescent="0.25">
      <c r="A5" s="6" t="s">
        <v>4</v>
      </c>
      <c r="B5" s="4" t="s">
        <v>5</v>
      </c>
      <c r="C5" s="45" t="s">
        <v>780</v>
      </c>
      <c r="D5" s="45" t="s">
        <v>780</v>
      </c>
      <c r="E5" s="1" t="s">
        <v>6</v>
      </c>
      <c r="F5" s="50" t="s">
        <v>7</v>
      </c>
      <c r="G5" s="72" t="s">
        <v>8</v>
      </c>
      <c r="H5" s="50" t="s">
        <v>9</v>
      </c>
      <c r="I5" s="72" t="s">
        <v>10</v>
      </c>
      <c r="J5" s="50" t="s">
        <v>11</v>
      </c>
      <c r="K5" s="50" t="s">
        <v>12</v>
      </c>
      <c r="L5" s="58" t="s">
        <v>13</v>
      </c>
      <c r="M5" s="50" t="s">
        <v>14</v>
      </c>
      <c r="N5" s="50" t="s">
        <v>15</v>
      </c>
      <c r="O5" s="50" t="s">
        <v>16</v>
      </c>
      <c r="P5" s="51" t="s">
        <v>17</v>
      </c>
      <c r="Q5" s="59" t="s">
        <v>18</v>
      </c>
      <c r="R5" s="51" t="s">
        <v>19</v>
      </c>
      <c r="S5" s="59" t="s">
        <v>20</v>
      </c>
      <c r="T5" s="51" t="s">
        <v>21</v>
      </c>
      <c r="U5" s="59" t="s">
        <v>22</v>
      </c>
      <c r="V5" s="51" t="s">
        <v>23</v>
      </c>
      <c r="W5" s="60" t="s">
        <v>24</v>
      </c>
      <c r="X5" s="61" t="s">
        <v>25</v>
      </c>
      <c r="Y5" s="60" t="s">
        <v>26</v>
      </c>
      <c r="Z5" s="61" t="s">
        <v>27</v>
      </c>
    </row>
    <row r="6" spans="1:26" ht="36" x14ac:dyDescent="0.25">
      <c r="A6" s="37" t="s">
        <v>28</v>
      </c>
      <c r="B6" s="38" t="s">
        <v>29</v>
      </c>
      <c r="C6" s="39" t="s">
        <v>30</v>
      </c>
      <c r="D6" s="40" t="s">
        <v>31</v>
      </c>
      <c r="E6" s="47" t="s">
        <v>32</v>
      </c>
      <c r="F6" s="81"/>
      <c r="G6" s="73"/>
      <c r="H6" s="53"/>
      <c r="I6" s="73"/>
      <c r="J6" s="53"/>
      <c r="K6" s="53"/>
      <c r="L6" s="62"/>
      <c r="M6" s="53"/>
      <c r="N6" s="53"/>
      <c r="O6" s="53"/>
      <c r="P6" s="53"/>
      <c r="Q6" s="62"/>
      <c r="R6" s="53"/>
      <c r="S6" s="62"/>
      <c r="T6" s="53"/>
      <c r="U6" s="62"/>
      <c r="V6" s="53"/>
      <c r="W6" s="53"/>
      <c r="X6" s="62"/>
      <c r="Y6" s="53"/>
      <c r="Z6" s="62"/>
    </row>
    <row r="7" spans="1:26" ht="24" x14ac:dyDescent="0.25">
      <c r="A7" s="13" t="s">
        <v>33</v>
      </c>
      <c r="B7" s="21" t="s">
        <v>34</v>
      </c>
      <c r="C7" s="35" t="s">
        <v>34</v>
      </c>
      <c r="D7" s="36" t="s">
        <v>35</v>
      </c>
      <c r="E7" s="48" t="s">
        <v>36</v>
      </c>
      <c r="F7" s="82"/>
      <c r="G7" s="74" t="s">
        <v>37</v>
      </c>
      <c r="H7" s="53"/>
      <c r="I7" s="74"/>
      <c r="J7" s="53"/>
      <c r="K7" s="53"/>
      <c r="L7" s="63"/>
      <c r="M7" s="53"/>
      <c r="N7" s="53"/>
      <c r="O7" s="53"/>
      <c r="P7" s="53"/>
      <c r="Q7" s="63"/>
      <c r="R7" s="53"/>
      <c r="S7" s="63"/>
      <c r="T7" s="53"/>
      <c r="U7" s="63"/>
      <c r="V7" s="53"/>
      <c r="W7" s="53"/>
      <c r="X7" s="63"/>
      <c r="Y7" s="53"/>
      <c r="Z7" s="63"/>
    </row>
    <row r="8" spans="1:26" ht="22.8" x14ac:dyDescent="0.25">
      <c r="A8" s="14" t="s">
        <v>38</v>
      </c>
      <c r="B8" s="22" t="s">
        <v>34</v>
      </c>
      <c r="C8" s="46" t="s">
        <v>39</v>
      </c>
      <c r="D8" s="29" t="s">
        <v>40</v>
      </c>
      <c r="E8" s="49" t="s">
        <v>36</v>
      </c>
      <c r="F8" s="82"/>
      <c r="G8" s="75" t="s">
        <v>37</v>
      </c>
      <c r="H8" s="53" t="s">
        <v>41</v>
      </c>
      <c r="I8" s="75"/>
      <c r="J8" s="53"/>
      <c r="K8" s="53"/>
      <c r="L8" s="64"/>
      <c r="M8" s="53"/>
      <c r="N8" s="53"/>
      <c r="O8" s="53"/>
      <c r="P8" s="53"/>
      <c r="Q8" s="69"/>
      <c r="R8" s="53"/>
      <c r="S8" s="69"/>
      <c r="T8" s="53"/>
      <c r="U8" s="69"/>
      <c r="V8" s="53"/>
      <c r="W8" s="53"/>
      <c r="X8" s="70"/>
      <c r="Y8" s="53"/>
      <c r="Z8" s="70"/>
    </row>
    <row r="9" spans="1:26" ht="22.8" x14ac:dyDescent="0.25">
      <c r="A9" s="15" t="s">
        <v>42</v>
      </c>
      <c r="B9" s="23" t="s">
        <v>43</v>
      </c>
      <c r="C9" s="46" t="s">
        <v>44</v>
      </c>
      <c r="D9" s="29" t="s">
        <v>45</v>
      </c>
      <c r="E9" s="49" t="s">
        <v>36</v>
      </c>
      <c r="F9" s="82"/>
      <c r="G9" s="75" t="s">
        <v>37</v>
      </c>
      <c r="H9" s="53" t="s">
        <v>41</v>
      </c>
      <c r="I9" s="75"/>
      <c r="J9" s="53"/>
      <c r="K9" s="53"/>
      <c r="L9" s="64"/>
      <c r="M9" s="53"/>
      <c r="N9" s="53"/>
      <c r="O9" s="53"/>
      <c r="P9" s="53"/>
      <c r="Q9" s="69"/>
      <c r="R9" s="53"/>
      <c r="S9" s="69"/>
      <c r="T9" s="53"/>
      <c r="U9" s="69"/>
      <c r="V9" s="53"/>
      <c r="W9" s="53"/>
      <c r="X9" s="70"/>
      <c r="Y9" s="53"/>
      <c r="Z9" s="70"/>
    </row>
    <row r="10" spans="1:26" ht="34.200000000000003" x14ac:dyDescent="0.25">
      <c r="A10" s="15" t="s">
        <v>46</v>
      </c>
      <c r="B10" s="23" t="s">
        <v>47</v>
      </c>
      <c r="C10" s="46" t="s">
        <v>48</v>
      </c>
      <c r="D10" s="29" t="s">
        <v>49</v>
      </c>
      <c r="E10" s="49" t="s">
        <v>36</v>
      </c>
      <c r="F10" s="82"/>
      <c r="G10" s="75" t="s">
        <v>37</v>
      </c>
      <c r="H10" s="53" t="s">
        <v>41</v>
      </c>
      <c r="I10" s="75"/>
      <c r="J10" s="53"/>
      <c r="K10" s="53"/>
      <c r="L10" s="64"/>
      <c r="M10" s="53"/>
      <c r="N10" s="53"/>
      <c r="O10" s="53"/>
      <c r="P10" s="53"/>
      <c r="Q10" s="69"/>
      <c r="R10" s="53"/>
      <c r="S10" s="69"/>
      <c r="T10" s="53"/>
      <c r="U10" s="69"/>
      <c r="V10" s="53"/>
      <c r="W10" s="53"/>
      <c r="X10" s="70"/>
      <c r="Y10" s="53"/>
      <c r="Z10" s="70"/>
    </row>
    <row r="11" spans="1:26" ht="68.400000000000006" x14ac:dyDescent="0.25">
      <c r="A11" s="15" t="s">
        <v>50</v>
      </c>
      <c r="B11" s="23" t="s">
        <v>51</v>
      </c>
      <c r="C11" s="46" t="s">
        <v>52</v>
      </c>
      <c r="D11" s="30" t="s">
        <v>53</v>
      </c>
      <c r="E11" s="49" t="s">
        <v>36</v>
      </c>
      <c r="F11" s="82"/>
      <c r="G11" s="75" t="s">
        <v>37</v>
      </c>
      <c r="H11" s="53" t="s">
        <v>41</v>
      </c>
      <c r="I11" s="75"/>
      <c r="J11" s="53"/>
      <c r="K11" s="53"/>
      <c r="L11" s="64"/>
      <c r="M11" s="53"/>
      <c r="N11" s="53"/>
      <c r="O11" s="53"/>
      <c r="P11" s="53"/>
      <c r="Q11" s="69"/>
      <c r="R11" s="53"/>
      <c r="S11" s="69"/>
      <c r="T11" s="53"/>
      <c r="U11" s="69"/>
      <c r="V11" s="53"/>
      <c r="W11" s="53"/>
      <c r="X11" s="70"/>
      <c r="Y11" s="53"/>
      <c r="Z11" s="70"/>
    </row>
    <row r="12" spans="1:26" ht="57" x14ac:dyDescent="0.25">
      <c r="A12" s="15" t="s">
        <v>54</v>
      </c>
      <c r="B12" s="23" t="s">
        <v>55</v>
      </c>
      <c r="C12" s="46" t="s">
        <v>56</v>
      </c>
      <c r="D12" s="30" t="s">
        <v>57</v>
      </c>
      <c r="E12" s="49" t="s">
        <v>36</v>
      </c>
      <c r="F12" s="82"/>
      <c r="G12" s="75" t="s">
        <v>37</v>
      </c>
      <c r="H12" s="53" t="s">
        <v>41</v>
      </c>
      <c r="I12" s="75"/>
      <c r="J12" s="53"/>
      <c r="K12" s="53"/>
      <c r="L12" s="64"/>
      <c r="M12" s="53"/>
      <c r="N12" s="53"/>
      <c r="O12" s="53"/>
      <c r="P12" s="53"/>
      <c r="Q12" s="69"/>
      <c r="R12" s="53"/>
      <c r="S12" s="69"/>
      <c r="T12" s="53"/>
      <c r="U12" s="69"/>
      <c r="V12" s="53"/>
      <c r="W12" s="53"/>
      <c r="X12" s="70"/>
      <c r="Y12" s="53"/>
      <c r="Z12" s="70"/>
    </row>
    <row r="13" spans="1:26" ht="22.8" x14ac:dyDescent="0.25">
      <c r="A13" s="16" t="s">
        <v>58</v>
      </c>
      <c r="B13" s="24" t="s">
        <v>59</v>
      </c>
      <c r="C13" s="33"/>
      <c r="D13" s="34" t="s">
        <v>60</v>
      </c>
      <c r="E13" s="48" t="s">
        <v>61</v>
      </c>
      <c r="F13" s="82"/>
      <c r="G13" s="76"/>
      <c r="H13" s="53"/>
      <c r="I13" s="76"/>
      <c r="J13" s="53"/>
      <c r="K13" s="53"/>
      <c r="L13" s="65"/>
      <c r="M13" s="53"/>
      <c r="N13" s="53"/>
      <c r="O13" s="53"/>
      <c r="P13" s="53"/>
      <c r="Q13" s="65"/>
      <c r="R13" s="53"/>
      <c r="S13" s="65"/>
      <c r="T13" s="53"/>
      <c r="U13" s="65"/>
      <c r="V13" s="53"/>
      <c r="W13" s="53"/>
      <c r="X13" s="65"/>
      <c r="Y13" s="53"/>
      <c r="Z13" s="65"/>
    </row>
    <row r="14" spans="1:26" ht="45.6" x14ac:dyDescent="0.25">
      <c r="A14" s="15" t="s">
        <v>62</v>
      </c>
      <c r="B14" s="23" t="s">
        <v>63</v>
      </c>
      <c r="D14" s="30" t="s">
        <v>64</v>
      </c>
      <c r="E14" s="49" t="s">
        <v>65</v>
      </c>
      <c r="F14" s="82"/>
      <c r="G14" s="76"/>
      <c r="H14" s="53" t="s">
        <v>37</v>
      </c>
      <c r="I14" s="76"/>
      <c r="J14" s="53"/>
      <c r="K14" s="53" t="s">
        <v>66</v>
      </c>
      <c r="L14" s="64"/>
      <c r="M14" s="53" t="s">
        <v>67</v>
      </c>
      <c r="N14" s="53"/>
      <c r="O14" s="53"/>
      <c r="P14" s="53"/>
      <c r="Q14" s="65"/>
      <c r="R14" s="53"/>
      <c r="S14" s="65"/>
      <c r="T14" s="53"/>
      <c r="U14" s="65"/>
      <c r="V14" s="53"/>
      <c r="W14" s="53"/>
      <c r="X14" s="65"/>
      <c r="Y14" s="53"/>
      <c r="Z14" s="65"/>
    </row>
    <row r="15" spans="1:26" ht="22.8" x14ac:dyDescent="0.25">
      <c r="A15" s="15" t="s">
        <v>68</v>
      </c>
      <c r="B15" s="23" t="s">
        <v>69</v>
      </c>
      <c r="D15" s="30" t="s">
        <v>70</v>
      </c>
      <c r="E15" s="49" t="s">
        <v>71</v>
      </c>
      <c r="F15" s="82"/>
      <c r="G15" s="76"/>
      <c r="H15" s="53" t="s">
        <v>37</v>
      </c>
      <c r="I15" s="76"/>
      <c r="J15" s="53"/>
      <c r="K15" s="53" t="s">
        <v>66</v>
      </c>
      <c r="L15" s="65"/>
      <c r="M15" s="53" t="s">
        <v>67</v>
      </c>
      <c r="N15" s="53"/>
      <c r="O15" s="53"/>
      <c r="P15" s="53"/>
      <c r="Q15" s="65"/>
      <c r="R15" s="53"/>
      <c r="S15" s="65"/>
      <c r="T15" s="53"/>
      <c r="U15" s="65"/>
      <c r="V15" s="53"/>
      <c r="W15" s="53"/>
      <c r="X15" s="65"/>
      <c r="Y15" s="53"/>
      <c r="Z15" s="65"/>
    </row>
    <row r="16" spans="1:26" ht="22.8" x14ac:dyDescent="0.25">
      <c r="A16" s="17" t="s">
        <v>72</v>
      </c>
      <c r="B16" s="25" t="s">
        <v>73</v>
      </c>
      <c r="D16" s="30" t="s">
        <v>74</v>
      </c>
      <c r="E16" s="49" t="s">
        <v>75</v>
      </c>
      <c r="F16" s="82"/>
      <c r="G16" s="76"/>
      <c r="H16" s="53" t="s">
        <v>37</v>
      </c>
      <c r="I16" s="76"/>
      <c r="J16" s="53"/>
      <c r="K16" s="53" t="s">
        <v>66</v>
      </c>
      <c r="L16" s="65"/>
      <c r="M16" s="53" t="s">
        <v>67</v>
      </c>
      <c r="N16" s="53"/>
      <c r="O16" s="53"/>
      <c r="P16" s="53"/>
      <c r="Q16" s="65"/>
      <c r="R16" s="53"/>
      <c r="S16" s="65"/>
      <c r="T16" s="53"/>
      <c r="U16" s="65"/>
      <c r="V16" s="53"/>
      <c r="W16" s="53"/>
      <c r="X16" s="65"/>
      <c r="Y16" s="53"/>
      <c r="Z16" s="65"/>
    </row>
    <row r="17" spans="1:26" ht="22.8" x14ac:dyDescent="0.25">
      <c r="A17" s="17" t="s">
        <v>76</v>
      </c>
      <c r="B17" s="25" t="s">
        <v>77</v>
      </c>
      <c r="D17" s="30" t="s">
        <v>78</v>
      </c>
      <c r="E17" s="49" t="s">
        <v>79</v>
      </c>
      <c r="F17" s="82"/>
      <c r="G17" s="76"/>
      <c r="H17" s="53" t="s">
        <v>37</v>
      </c>
      <c r="I17" s="76"/>
      <c r="J17" s="53"/>
      <c r="K17" s="53" t="s">
        <v>66</v>
      </c>
      <c r="L17" s="65"/>
      <c r="M17" s="53" t="s">
        <v>67</v>
      </c>
      <c r="N17" s="53"/>
      <c r="O17" s="53"/>
      <c r="P17" s="53"/>
      <c r="Q17" s="65"/>
      <c r="R17" s="53"/>
      <c r="S17" s="65"/>
      <c r="T17" s="53"/>
      <c r="U17" s="65"/>
      <c r="V17" s="53"/>
      <c r="W17" s="53"/>
      <c r="X17" s="65"/>
      <c r="Y17" s="53"/>
      <c r="Z17" s="65"/>
    </row>
    <row r="18" spans="1:26" ht="24" x14ac:dyDescent="0.25">
      <c r="A18" s="16" t="s">
        <v>80</v>
      </c>
      <c r="B18" s="24" t="s">
        <v>81</v>
      </c>
      <c r="C18" s="35" t="s">
        <v>82</v>
      </c>
      <c r="D18" s="36" t="s">
        <v>83</v>
      </c>
      <c r="E18" s="48" t="s">
        <v>84</v>
      </c>
      <c r="F18" s="82"/>
      <c r="G18" s="74" t="s">
        <v>67</v>
      </c>
      <c r="H18" s="53"/>
      <c r="I18" s="74" t="s">
        <v>37</v>
      </c>
      <c r="J18" s="53"/>
      <c r="K18" s="53"/>
      <c r="L18" s="63"/>
      <c r="M18" s="53"/>
      <c r="N18" s="53"/>
      <c r="O18" s="53"/>
      <c r="P18" s="53"/>
      <c r="Q18" s="63"/>
      <c r="R18" s="53"/>
      <c r="S18" s="63"/>
      <c r="T18" s="53"/>
      <c r="U18" s="63"/>
      <c r="V18" s="53"/>
      <c r="W18" s="53"/>
      <c r="X18" s="63"/>
      <c r="Y18" s="53"/>
      <c r="Z18" s="63"/>
    </row>
    <row r="19" spans="1:26" ht="22.8" x14ac:dyDescent="0.25">
      <c r="A19" s="15" t="s">
        <v>85</v>
      </c>
      <c r="B19" s="23" t="s">
        <v>81</v>
      </c>
      <c r="C19" s="28" t="s">
        <v>86</v>
      </c>
      <c r="D19" s="29" t="s">
        <v>87</v>
      </c>
      <c r="E19" s="49" t="s">
        <v>88</v>
      </c>
      <c r="F19" s="82"/>
      <c r="G19" s="75" t="s">
        <v>67</v>
      </c>
      <c r="H19" s="53" t="s">
        <v>41</v>
      </c>
      <c r="I19" s="75" t="s">
        <v>37</v>
      </c>
      <c r="J19" s="53"/>
      <c r="K19" s="53"/>
      <c r="L19" s="65"/>
      <c r="M19" s="53"/>
      <c r="N19" s="53"/>
      <c r="O19" s="53"/>
      <c r="P19" s="53"/>
      <c r="Q19" s="69"/>
      <c r="R19" s="53"/>
      <c r="S19" s="69"/>
      <c r="T19" s="53"/>
      <c r="U19" s="69"/>
      <c r="V19" s="53"/>
      <c r="W19" s="53"/>
      <c r="X19" s="70"/>
      <c r="Y19" s="53"/>
      <c r="Z19" s="70"/>
    </row>
    <row r="20" spans="1:26" ht="24" x14ac:dyDescent="0.25">
      <c r="A20" s="16" t="s">
        <v>89</v>
      </c>
      <c r="B20" s="24" t="s">
        <v>90</v>
      </c>
      <c r="C20" s="35" t="s">
        <v>90</v>
      </c>
      <c r="D20" s="36" t="s">
        <v>91</v>
      </c>
      <c r="E20" s="48" t="s">
        <v>92</v>
      </c>
      <c r="F20" s="82"/>
      <c r="G20" s="74"/>
      <c r="H20" s="53"/>
      <c r="I20" s="74" t="s">
        <v>37</v>
      </c>
      <c r="J20" s="53"/>
      <c r="K20" s="53"/>
      <c r="L20" s="63"/>
      <c r="M20" s="53"/>
      <c r="N20" s="53"/>
      <c r="O20" s="53"/>
      <c r="P20" s="53"/>
      <c r="Q20" s="63"/>
      <c r="R20" s="53"/>
      <c r="S20" s="63"/>
      <c r="T20" s="53"/>
      <c r="U20" s="63"/>
      <c r="V20" s="53"/>
      <c r="W20" s="53"/>
      <c r="X20" s="63"/>
      <c r="Y20" s="53"/>
      <c r="Z20" s="63"/>
    </row>
    <row r="21" spans="1:26" ht="34.200000000000003" x14ac:dyDescent="0.25">
      <c r="A21" s="15" t="s">
        <v>93</v>
      </c>
      <c r="B21" s="23" t="s">
        <v>94</v>
      </c>
      <c r="C21" s="28" t="s">
        <v>95</v>
      </c>
      <c r="D21" s="29" t="s">
        <v>96</v>
      </c>
      <c r="E21" s="49" t="s">
        <v>92</v>
      </c>
      <c r="F21" s="82"/>
      <c r="G21" s="75"/>
      <c r="H21" s="53" t="s">
        <v>41</v>
      </c>
      <c r="I21" s="75" t="s">
        <v>37</v>
      </c>
      <c r="J21" s="53"/>
      <c r="K21" s="53"/>
      <c r="L21" s="64"/>
      <c r="M21" s="53"/>
      <c r="N21" s="53"/>
      <c r="O21" s="53"/>
      <c r="P21" s="53"/>
      <c r="Q21" s="69"/>
      <c r="R21" s="53"/>
      <c r="S21" s="69"/>
      <c r="T21" s="53"/>
      <c r="U21" s="69"/>
      <c r="V21" s="53"/>
      <c r="W21" s="53"/>
      <c r="X21" s="70"/>
      <c r="Y21" s="53"/>
      <c r="Z21" s="70"/>
    </row>
    <row r="22" spans="1:26" ht="24" x14ac:dyDescent="0.25">
      <c r="A22" s="16" t="s">
        <v>97</v>
      </c>
      <c r="B22" s="24" t="s">
        <v>98</v>
      </c>
      <c r="C22" s="35" t="s">
        <v>98</v>
      </c>
      <c r="D22" s="36" t="s">
        <v>99</v>
      </c>
      <c r="E22" s="48" t="s">
        <v>100</v>
      </c>
      <c r="F22" s="82"/>
      <c r="G22" s="74" t="s">
        <v>101</v>
      </c>
      <c r="H22" s="53"/>
      <c r="I22" s="74" t="s">
        <v>37</v>
      </c>
      <c r="J22" s="53"/>
      <c r="K22" s="53"/>
      <c r="L22" s="63" t="s">
        <v>67</v>
      </c>
      <c r="M22" s="53"/>
      <c r="N22" s="53"/>
      <c r="O22" s="53"/>
      <c r="P22" s="53"/>
      <c r="Q22" s="63"/>
      <c r="R22" s="53"/>
      <c r="S22" s="63"/>
      <c r="T22" s="53"/>
      <c r="U22" s="63"/>
      <c r="V22" s="53"/>
      <c r="W22" s="53"/>
      <c r="X22" s="63"/>
      <c r="Y22" s="53"/>
      <c r="Z22" s="63"/>
    </row>
    <row r="23" spans="1:26" ht="34.200000000000003" x14ac:dyDescent="0.25">
      <c r="A23" s="15" t="s">
        <v>102</v>
      </c>
      <c r="B23" s="23" t="s">
        <v>103</v>
      </c>
      <c r="C23" s="28" t="s">
        <v>104</v>
      </c>
      <c r="D23" s="29" t="s">
        <v>105</v>
      </c>
      <c r="E23" s="49" t="s">
        <v>106</v>
      </c>
      <c r="F23" s="82"/>
      <c r="G23" s="75" t="s">
        <v>101</v>
      </c>
      <c r="H23" s="53" t="s">
        <v>41</v>
      </c>
      <c r="I23" s="75" t="s">
        <v>37</v>
      </c>
      <c r="J23" s="53"/>
      <c r="K23" s="53"/>
      <c r="L23" s="64" t="s">
        <v>67</v>
      </c>
      <c r="M23" s="53"/>
      <c r="N23" s="53"/>
      <c r="O23" s="53"/>
      <c r="P23" s="53"/>
      <c r="Q23" s="69"/>
      <c r="R23" s="53"/>
      <c r="S23" s="69"/>
      <c r="T23" s="53"/>
      <c r="U23" s="69"/>
      <c r="V23" s="53"/>
      <c r="W23" s="53"/>
      <c r="X23" s="70"/>
      <c r="Y23" s="53"/>
      <c r="Z23" s="70"/>
    </row>
    <row r="24" spans="1:26" ht="24" x14ac:dyDescent="0.25">
      <c r="A24" s="16" t="s">
        <v>107</v>
      </c>
      <c r="B24" s="24" t="s">
        <v>108</v>
      </c>
      <c r="C24" s="35" t="s">
        <v>108</v>
      </c>
      <c r="D24" s="36" t="s">
        <v>109</v>
      </c>
      <c r="E24" s="48" t="s">
        <v>110</v>
      </c>
      <c r="F24" s="82"/>
      <c r="G24" s="74" t="s">
        <v>101</v>
      </c>
      <c r="H24" s="53"/>
      <c r="I24" s="74" t="s">
        <v>37</v>
      </c>
      <c r="J24" s="53"/>
      <c r="K24" s="53"/>
      <c r="L24" s="63" t="s">
        <v>67</v>
      </c>
      <c r="M24" s="53"/>
      <c r="N24" s="53"/>
      <c r="O24" s="53"/>
      <c r="P24" s="53"/>
      <c r="Q24" s="63"/>
      <c r="R24" s="53"/>
      <c r="S24" s="63"/>
      <c r="T24" s="53"/>
      <c r="U24" s="63"/>
      <c r="V24" s="53"/>
      <c r="W24" s="53"/>
      <c r="X24" s="63"/>
      <c r="Y24" s="53"/>
      <c r="Z24" s="63"/>
    </row>
    <row r="25" spans="1:26" ht="45.6" x14ac:dyDescent="0.25">
      <c r="A25" s="15" t="s">
        <v>111</v>
      </c>
      <c r="B25" s="23" t="s">
        <v>112</v>
      </c>
      <c r="C25" s="28" t="s">
        <v>113</v>
      </c>
      <c r="D25" s="29" t="s">
        <v>114</v>
      </c>
      <c r="E25" s="49" t="s">
        <v>110</v>
      </c>
      <c r="F25" s="82"/>
      <c r="G25" s="75" t="s">
        <v>101</v>
      </c>
      <c r="H25" s="53" t="s">
        <v>41</v>
      </c>
      <c r="I25" s="75" t="s">
        <v>37</v>
      </c>
      <c r="J25" s="53"/>
      <c r="K25" s="53"/>
      <c r="L25" s="64" t="s">
        <v>67</v>
      </c>
      <c r="M25" s="53"/>
      <c r="N25" s="53"/>
      <c r="O25" s="53"/>
      <c r="P25" s="53"/>
      <c r="Q25" s="69"/>
      <c r="R25" s="53"/>
      <c r="S25" s="69"/>
      <c r="T25" s="53"/>
      <c r="U25" s="69"/>
      <c r="V25" s="53"/>
      <c r="W25" s="53"/>
      <c r="X25" s="70"/>
      <c r="Y25" s="53"/>
      <c r="Z25" s="70"/>
    </row>
    <row r="26" spans="1:26" ht="24" x14ac:dyDescent="0.25">
      <c r="A26" s="16" t="s">
        <v>115</v>
      </c>
      <c r="B26" s="24" t="s">
        <v>116</v>
      </c>
      <c r="C26" s="35" t="s">
        <v>117</v>
      </c>
      <c r="D26" s="36" t="s">
        <v>118</v>
      </c>
      <c r="E26" s="48" t="s">
        <v>119</v>
      </c>
      <c r="F26" s="82"/>
      <c r="G26" s="74" t="s">
        <v>101</v>
      </c>
      <c r="H26" s="53"/>
      <c r="I26" s="74" t="s">
        <v>37</v>
      </c>
      <c r="J26" s="53"/>
      <c r="K26" s="53"/>
      <c r="L26" s="63"/>
      <c r="M26" s="53"/>
      <c r="N26" s="53"/>
      <c r="O26" s="53"/>
      <c r="P26" s="53"/>
      <c r="Q26" s="63"/>
      <c r="R26" s="53"/>
      <c r="S26" s="63"/>
      <c r="T26" s="53"/>
      <c r="U26" s="63"/>
      <c r="V26" s="53"/>
      <c r="W26" s="53"/>
      <c r="X26" s="63"/>
      <c r="Y26" s="53"/>
      <c r="Z26" s="63"/>
    </row>
    <row r="27" spans="1:26" ht="22.8" x14ac:dyDescent="0.25">
      <c r="A27" s="15" t="s">
        <v>120</v>
      </c>
      <c r="B27" s="23" t="s">
        <v>116</v>
      </c>
      <c r="C27" s="28" t="s">
        <v>121</v>
      </c>
      <c r="D27" s="29" t="s">
        <v>122</v>
      </c>
      <c r="E27" s="49" t="s">
        <v>119</v>
      </c>
      <c r="F27" s="82"/>
      <c r="G27" s="75" t="s">
        <v>101</v>
      </c>
      <c r="H27" s="53" t="s">
        <v>41</v>
      </c>
      <c r="I27" s="75" t="s">
        <v>37</v>
      </c>
      <c r="J27" s="53"/>
      <c r="K27" s="53"/>
      <c r="L27" s="64"/>
      <c r="M27" s="53"/>
      <c r="N27" s="53"/>
      <c r="O27" s="53"/>
      <c r="P27" s="53"/>
      <c r="Q27" s="69"/>
      <c r="R27" s="53"/>
      <c r="S27" s="69"/>
      <c r="T27" s="53"/>
      <c r="U27" s="69"/>
      <c r="V27" s="53"/>
      <c r="W27" s="53"/>
      <c r="X27" s="70"/>
      <c r="Y27" s="53"/>
      <c r="Z27" s="70"/>
    </row>
    <row r="28" spans="1:26" ht="34.200000000000003" x14ac:dyDescent="0.25">
      <c r="A28" s="16" t="s">
        <v>123</v>
      </c>
      <c r="B28" s="24" t="s">
        <v>124</v>
      </c>
      <c r="C28" s="35" t="s">
        <v>125</v>
      </c>
      <c r="D28" s="36" t="s">
        <v>126</v>
      </c>
      <c r="E28" s="48" t="s">
        <v>127</v>
      </c>
      <c r="F28" s="82"/>
      <c r="G28" s="74"/>
      <c r="H28" s="53"/>
      <c r="I28" s="74"/>
      <c r="J28" s="53"/>
      <c r="K28" s="53"/>
      <c r="L28" s="63" t="s">
        <v>37</v>
      </c>
      <c r="M28" s="53"/>
      <c r="N28" s="53"/>
      <c r="O28" s="53"/>
      <c r="P28" s="53"/>
      <c r="Q28" s="63"/>
      <c r="R28" s="53"/>
      <c r="S28" s="63"/>
      <c r="T28" s="53"/>
      <c r="U28" s="63"/>
      <c r="V28" s="53"/>
      <c r="W28" s="53"/>
      <c r="X28" s="63"/>
      <c r="Y28" s="53"/>
      <c r="Z28" s="63"/>
    </row>
    <row r="29" spans="1:26" ht="45.6" x14ac:dyDescent="0.25">
      <c r="A29" s="15" t="s">
        <v>128</v>
      </c>
      <c r="B29" s="23" t="s">
        <v>129</v>
      </c>
      <c r="C29" s="28" t="s">
        <v>130</v>
      </c>
      <c r="D29" s="29" t="s">
        <v>131</v>
      </c>
      <c r="E29" s="49" t="s">
        <v>61</v>
      </c>
      <c r="F29" s="82"/>
      <c r="G29" s="75"/>
      <c r="H29" s="53" t="s">
        <v>37</v>
      </c>
      <c r="I29" s="75"/>
      <c r="J29" s="53"/>
      <c r="K29" s="53" t="s">
        <v>66</v>
      </c>
      <c r="L29" s="64" t="s">
        <v>37</v>
      </c>
      <c r="M29" s="53" t="s">
        <v>67</v>
      </c>
      <c r="N29" s="53"/>
      <c r="O29" s="53"/>
      <c r="P29" s="53"/>
      <c r="Q29" s="69"/>
      <c r="R29" s="53"/>
      <c r="S29" s="69"/>
      <c r="T29" s="53"/>
      <c r="U29" s="69"/>
      <c r="V29" s="53"/>
      <c r="W29" s="53"/>
      <c r="X29" s="70"/>
      <c r="Y29" s="53"/>
      <c r="Z29" s="70"/>
    </row>
    <row r="30" spans="1:26" ht="22.8" x14ac:dyDescent="0.25">
      <c r="A30" s="15" t="s">
        <v>132</v>
      </c>
      <c r="B30" s="23" t="s">
        <v>133</v>
      </c>
      <c r="C30" s="28" t="s">
        <v>134</v>
      </c>
      <c r="D30" s="29" t="s">
        <v>135</v>
      </c>
      <c r="E30" s="49" t="s">
        <v>136</v>
      </c>
      <c r="F30" s="82"/>
      <c r="G30" s="75"/>
      <c r="H30" s="53" t="s">
        <v>37</v>
      </c>
      <c r="I30" s="75"/>
      <c r="J30" s="53"/>
      <c r="K30" s="53" t="s">
        <v>66</v>
      </c>
      <c r="L30" s="64" t="s">
        <v>37</v>
      </c>
      <c r="M30" s="53" t="s">
        <v>67</v>
      </c>
      <c r="N30" s="53"/>
      <c r="O30" s="53"/>
      <c r="P30" s="53"/>
      <c r="Q30" s="69"/>
      <c r="R30" s="53"/>
      <c r="S30" s="69"/>
      <c r="T30" s="53"/>
      <c r="U30" s="69"/>
      <c r="V30" s="53"/>
      <c r="W30" s="53"/>
      <c r="X30" s="70"/>
      <c r="Y30" s="53"/>
      <c r="Z30" s="70"/>
    </row>
    <row r="31" spans="1:26" ht="22.8" x14ac:dyDescent="0.25">
      <c r="A31" s="15" t="s">
        <v>137</v>
      </c>
      <c r="B31" s="23" t="s">
        <v>138</v>
      </c>
      <c r="C31" s="28" t="s">
        <v>139</v>
      </c>
      <c r="D31" s="29" t="s">
        <v>140</v>
      </c>
      <c r="E31" s="49" t="s">
        <v>136</v>
      </c>
      <c r="F31" s="82"/>
      <c r="G31" s="75"/>
      <c r="H31" s="53" t="s">
        <v>37</v>
      </c>
      <c r="I31" s="75"/>
      <c r="J31" s="53"/>
      <c r="K31" s="53" t="s">
        <v>66</v>
      </c>
      <c r="L31" s="64" t="s">
        <v>37</v>
      </c>
      <c r="M31" s="53" t="s">
        <v>67</v>
      </c>
      <c r="N31" s="53"/>
      <c r="O31" s="53"/>
      <c r="P31" s="53"/>
      <c r="Q31" s="69"/>
      <c r="R31" s="53"/>
      <c r="S31" s="69"/>
      <c r="T31" s="53"/>
      <c r="U31" s="69"/>
      <c r="V31" s="53"/>
      <c r="W31" s="53"/>
      <c r="X31" s="70"/>
      <c r="Y31" s="53"/>
      <c r="Z31" s="70"/>
    </row>
    <row r="32" spans="1:26" x14ac:dyDescent="0.25">
      <c r="A32" s="19" t="s">
        <v>141</v>
      </c>
      <c r="B32" s="2" t="s">
        <v>142</v>
      </c>
      <c r="D32" s="32" t="s">
        <v>142</v>
      </c>
      <c r="F32" s="82"/>
      <c r="G32" s="76"/>
      <c r="H32" s="53"/>
      <c r="I32" s="76"/>
      <c r="J32" s="53"/>
      <c r="K32" s="53"/>
      <c r="L32" s="65"/>
      <c r="M32" s="53"/>
      <c r="N32" s="53"/>
      <c r="O32" s="53"/>
      <c r="P32" s="53"/>
      <c r="Q32" s="65"/>
      <c r="R32" s="53"/>
      <c r="S32" s="65"/>
      <c r="T32" s="53"/>
      <c r="U32" s="65"/>
      <c r="V32" s="53"/>
      <c r="W32" s="53"/>
      <c r="X32" s="65"/>
      <c r="Y32" s="53"/>
      <c r="Z32" s="65"/>
    </row>
    <row r="33" spans="1:26" x14ac:dyDescent="0.25">
      <c r="A33" s="19" t="s">
        <v>143</v>
      </c>
      <c r="B33" s="2" t="s">
        <v>144</v>
      </c>
      <c r="D33" s="32" t="s">
        <v>144</v>
      </c>
      <c r="F33" s="82"/>
      <c r="G33" s="76"/>
      <c r="H33" s="53"/>
      <c r="I33" s="76"/>
      <c r="J33" s="53"/>
      <c r="K33" s="53"/>
      <c r="L33" s="65"/>
      <c r="M33" s="53"/>
      <c r="N33" s="53"/>
      <c r="O33" s="53"/>
      <c r="P33" s="53"/>
      <c r="Q33" s="65"/>
      <c r="R33" s="53"/>
      <c r="S33" s="65"/>
      <c r="T33" s="53"/>
      <c r="U33" s="65"/>
      <c r="V33" s="53"/>
      <c r="W33" s="53"/>
      <c r="X33" s="65"/>
      <c r="Y33" s="53"/>
      <c r="Z33" s="65"/>
    </row>
    <row r="34" spans="1:26" x14ac:dyDescent="0.25">
      <c r="A34" s="19" t="s">
        <v>145</v>
      </c>
      <c r="B34" s="2" t="s">
        <v>146</v>
      </c>
      <c r="D34" s="32" t="s">
        <v>146</v>
      </c>
      <c r="F34" s="82"/>
      <c r="G34" s="76"/>
      <c r="H34" s="53"/>
      <c r="I34" s="76"/>
      <c r="J34" s="53"/>
      <c r="K34" s="53"/>
      <c r="L34" s="65"/>
      <c r="M34" s="53"/>
      <c r="N34" s="53"/>
      <c r="O34" s="53"/>
      <c r="P34" s="53"/>
      <c r="Q34" s="65"/>
      <c r="R34" s="53"/>
      <c r="S34" s="65"/>
      <c r="T34" s="53"/>
      <c r="U34" s="65"/>
      <c r="V34" s="53"/>
      <c r="W34" s="53"/>
      <c r="X34" s="65"/>
      <c r="Y34" s="53"/>
      <c r="Z34" s="65"/>
    </row>
    <row r="35" spans="1:26" x14ac:dyDescent="0.25">
      <c r="A35" s="19" t="s">
        <v>147</v>
      </c>
      <c r="B35" s="2" t="s">
        <v>148</v>
      </c>
      <c r="D35" s="32" t="s">
        <v>148</v>
      </c>
      <c r="F35" s="82"/>
      <c r="G35" s="76"/>
      <c r="H35" s="53"/>
      <c r="I35" s="76"/>
      <c r="J35" s="53"/>
      <c r="K35" s="53"/>
      <c r="L35" s="65"/>
      <c r="M35" s="53"/>
      <c r="N35" s="53"/>
      <c r="O35" s="53"/>
      <c r="P35" s="53"/>
      <c r="Q35" s="65"/>
      <c r="R35" s="53"/>
      <c r="S35" s="65"/>
      <c r="T35" s="53"/>
      <c r="U35" s="65"/>
      <c r="V35" s="53"/>
      <c r="W35" s="53"/>
      <c r="X35" s="65"/>
      <c r="Y35" s="53"/>
      <c r="Z35" s="65"/>
    </row>
    <row r="36" spans="1:26" x14ac:dyDescent="0.25">
      <c r="A36" s="19" t="s">
        <v>149</v>
      </c>
      <c r="B36" s="2" t="s">
        <v>150</v>
      </c>
      <c r="D36" s="32" t="s">
        <v>150</v>
      </c>
      <c r="F36" s="82"/>
      <c r="G36" s="76"/>
      <c r="H36" s="53"/>
      <c r="I36" s="76"/>
      <c r="J36" s="53"/>
      <c r="K36" s="53"/>
      <c r="L36" s="65"/>
      <c r="M36" s="53"/>
      <c r="N36" s="53"/>
      <c r="O36" s="53"/>
      <c r="P36" s="53"/>
      <c r="Q36" s="65"/>
      <c r="R36" s="53"/>
      <c r="S36" s="65"/>
      <c r="T36" s="53"/>
      <c r="U36" s="65"/>
      <c r="V36" s="53"/>
      <c r="W36" s="53"/>
      <c r="X36" s="65"/>
      <c r="Y36" s="53"/>
      <c r="Z36" s="65"/>
    </row>
    <row r="37" spans="1:26" ht="22.8" x14ac:dyDescent="0.25">
      <c r="A37" s="15" t="s">
        <v>151</v>
      </c>
      <c r="B37" s="23" t="s">
        <v>152</v>
      </c>
      <c r="C37" s="28" t="s">
        <v>152</v>
      </c>
      <c r="D37" s="29" t="s">
        <v>153</v>
      </c>
      <c r="E37" s="49" t="s">
        <v>136</v>
      </c>
      <c r="F37" s="82"/>
      <c r="G37" s="75"/>
      <c r="H37" s="53" t="s">
        <v>37</v>
      </c>
      <c r="I37" s="75"/>
      <c r="J37" s="53"/>
      <c r="K37" s="53" t="s">
        <v>37</v>
      </c>
      <c r="L37" s="64" t="s">
        <v>37</v>
      </c>
      <c r="M37" s="53" t="s">
        <v>67</v>
      </c>
      <c r="N37" s="53"/>
      <c r="O37" s="53"/>
      <c r="P37" s="53"/>
      <c r="Q37" s="69"/>
      <c r="R37" s="53"/>
      <c r="S37" s="69"/>
      <c r="T37" s="53"/>
      <c r="U37" s="69"/>
      <c r="V37" s="53"/>
      <c r="W37" s="53"/>
      <c r="X37" s="70"/>
      <c r="Y37" s="53"/>
      <c r="Z37" s="70"/>
    </row>
    <row r="38" spans="1:26" ht="22.8" x14ac:dyDescent="0.25">
      <c r="A38" s="15" t="s">
        <v>154</v>
      </c>
      <c r="B38" s="23" t="s">
        <v>155</v>
      </c>
      <c r="C38" s="28" t="s">
        <v>156</v>
      </c>
      <c r="D38" s="29" t="s">
        <v>157</v>
      </c>
      <c r="E38" s="49" t="s">
        <v>136</v>
      </c>
      <c r="F38" s="82"/>
      <c r="G38" s="75"/>
      <c r="H38" s="53" t="s">
        <v>37</v>
      </c>
      <c r="I38" s="75"/>
      <c r="J38" s="53"/>
      <c r="K38" s="53" t="s">
        <v>37</v>
      </c>
      <c r="L38" s="64" t="s">
        <v>37</v>
      </c>
      <c r="M38" s="53" t="s">
        <v>67</v>
      </c>
      <c r="N38" s="53"/>
      <c r="O38" s="53"/>
      <c r="P38" s="53"/>
      <c r="Q38" s="69"/>
      <c r="R38" s="53"/>
      <c r="S38" s="69"/>
      <c r="T38" s="53"/>
      <c r="U38" s="69"/>
      <c r="V38" s="53"/>
      <c r="W38" s="53"/>
      <c r="X38" s="70"/>
      <c r="Y38" s="53"/>
      <c r="Z38" s="70"/>
    </row>
    <row r="39" spans="1:26" s="10" customFormat="1" ht="22.8" x14ac:dyDescent="0.25">
      <c r="A39" s="15" t="s">
        <v>158</v>
      </c>
      <c r="B39" s="23" t="s">
        <v>159</v>
      </c>
      <c r="C39" s="28" t="s">
        <v>159</v>
      </c>
      <c r="D39" s="29" t="s">
        <v>160</v>
      </c>
      <c r="E39" s="49" t="s">
        <v>136</v>
      </c>
      <c r="F39" s="82"/>
      <c r="G39" s="75"/>
      <c r="H39" s="53" t="s">
        <v>37</v>
      </c>
      <c r="I39" s="75"/>
      <c r="J39" s="53"/>
      <c r="K39" s="53" t="s">
        <v>37</v>
      </c>
      <c r="L39" s="64" t="s">
        <v>37</v>
      </c>
      <c r="M39" s="53" t="s">
        <v>67</v>
      </c>
      <c r="N39" s="53"/>
      <c r="O39" s="53"/>
      <c r="P39" s="53"/>
      <c r="Q39" s="69"/>
      <c r="R39" s="53"/>
      <c r="S39" s="69"/>
      <c r="T39" s="53"/>
      <c r="U39" s="69"/>
      <c r="V39" s="53"/>
      <c r="W39" s="53"/>
      <c r="X39" s="70"/>
      <c r="Y39" s="53"/>
      <c r="Z39" s="70"/>
    </row>
    <row r="40" spans="1:26" ht="22.8" x14ac:dyDescent="0.25">
      <c r="A40" s="15" t="s">
        <v>161</v>
      </c>
      <c r="B40" s="23" t="s">
        <v>162</v>
      </c>
      <c r="C40" s="28" t="s">
        <v>162</v>
      </c>
      <c r="D40" s="29" t="s">
        <v>163</v>
      </c>
      <c r="E40" s="49" t="s">
        <v>164</v>
      </c>
      <c r="F40" s="82"/>
      <c r="G40" s="75"/>
      <c r="H40" s="53" t="s">
        <v>37</v>
      </c>
      <c r="I40" s="75"/>
      <c r="J40" s="53"/>
      <c r="K40" s="53" t="s">
        <v>37</v>
      </c>
      <c r="L40" s="64" t="s">
        <v>37</v>
      </c>
      <c r="M40" s="53" t="s">
        <v>67</v>
      </c>
      <c r="N40" s="53"/>
      <c r="O40" s="53"/>
      <c r="P40" s="53"/>
      <c r="Q40" s="69"/>
      <c r="R40" s="53"/>
      <c r="S40" s="69"/>
      <c r="T40" s="53"/>
      <c r="U40" s="69"/>
      <c r="V40" s="53"/>
      <c r="W40" s="53"/>
      <c r="X40" s="70"/>
      <c r="Y40" s="53"/>
      <c r="Z40" s="70"/>
    </row>
    <row r="41" spans="1:26" ht="24" x14ac:dyDescent="0.25">
      <c r="A41" s="16" t="s">
        <v>165</v>
      </c>
      <c r="B41" s="24" t="s">
        <v>166</v>
      </c>
      <c r="C41" s="35" t="s">
        <v>167</v>
      </c>
      <c r="D41" s="36" t="s">
        <v>168</v>
      </c>
      <c r="E41" s="48" t="s">
        <v>169</v>
      </c>
      <c r="F41" s="82"/>
      <c r="G41" s="74" t="s">
        <v>67</v>
      </c>
      <c r="H41" s="53"/>
      <c r="I41" s="74" t="s">
        <v>37</v>
      </c>
      <c r="J41" s="53"/>
      <c r="K41" s="53"/>
      <c r="L41" s="63"/>
      <c r="M41" s="53"/>
      <c r="N41" s="53"/>
      <c r="O41" s="53"/>
      <c r="P41" s="53"/>
      <c r="Q41" s="63"/>
      <c r="R41" s="53"/>
      <c r="S41" s="63"/>
      <c r="T41" s="53"/>
      <c r="U41" s="63"/>
      <c r="V41" s="53"/>
      <c r="W41" s="53"/>
      <c r="X41" s="63"/>
      <c r="Y41" s="53"/>
      <c r="Z41" s="63"/>
    </row>
    <row r="42" spans="1:26" ht="22.8" x14ac:dyDescent="0.25">
      <c r="A42" s="15" t="s">
        <v>170</v>
      </c>
      <c r="B42" s="23" t="s">
        <v>166</v>
      </c>
      <c r="C42" s="28" t="s">
        <v>171</v>
      </c>
      <c r="D42" s="29" t="s">
        <v>172</v>
      </c>
      <c r="E42" s="49" t="s">
        <v>173</v>
      </c>
      <c r="F42" s="82"/>
      <c r="G42" s="75" t="s">
        <v>67</v>
      </c>
      <c r="H42" s="53" t="s">
        <v>37</v>
      </c>
      <c r="I42" s="75" t="s">
        <v>37</v>
      </c>
      <c r="J42" s="53"/>
      <c r="K42" s="53"/>
      <c r="L42" s="64"/>
      <c r="M42" s="53"/>
      <c r="N42" s="53"/>
      <c r="O42" s="53"/>
      <c r="P42" s="53"/>
      <c r="Q42" s="69"/>
      <c r="R42" s="53"/>
      <c r="S42" s="69"/>
      <c r="T42" s="53"/>
      <c r="U42" s="69"/>
      <c r="V42" s="53"/>
      <c r="W42" s="53"/>
      <c r="X42" s="70"/>
      <c r="Y42" s="53"/>
      <c r="Z42" s="70"/>
    </row>
    <row r="43" spans="1:26" ht="22.8" x14ac:dyDescent="0.25">
      <c r="A43" s="15" t="s">
        <v>174</v>
      </c>
      <c r="B43" s="23" t="s">
        <v>175</v>
      </c>
      <c r="D43" s="30" t="s">
        <v>176</v>
      </c>
      <c r="E43" s="49"/>
      <c r="F43" s="82"/>
      <c r="G43" s="76"/>
      <c r="H43" s="53" t="s">
        <v>41</v>
      </c>
      <c r="I43" s="76"/>
      <c r="J43" s="53"/>
      <c r="K43" s="53"/>
      <c r="L43" s="65"/>
      <c r="M43" s="53"/>
      <c r="N43" s="53"/>
      <c r="O43" s="53"/>
      <c r="P43" s="53"/>
      <c r="Q43" s="65"/>
      <c r="R43" s="53"/>
      <c r="S43" s="65"/>
      <c r="T43" s="53"/>
      <c r="U43" s="65"/>
      <c r="V43" s="53"/>
      <c r="W43" s="53"/>
      <c r="X43" s="65"/>
      <c r="Y43" s="53"/>
      <c r="Z43" s="65"/>
    </row>
    <row r="44" spans="1:26" ht="36" x14ac:dyDescent="0.25">
      <c r="A44" s="80" t="s">
        <v>177</v>
      </c>
      <c r="B44" s="43" t="s">
        <v>178</v>
      </c>
      <c r="C44" s="39" t="s">
        <v>179</v>
      </c>
      <c r="D44" s="40" t="s">
        <v>180</v>
      </c>
      <c r="E44" s="47" t="s">
        <v>181</v>
      </c>
      <c r="F44" s="81"/>
      <c r="G44" s="73"/>
      <c r="H44" s="53"/>
      <c r="I44" s="73"/>
      <c r="J44" s="53"/>
      <c r="K44" s="53"/>
      <c r="L44" s="62"/>
      <c r="M44" s="53"/>
      <c r="N44" s="53"/>
      <c r="O44" s="53"/>
      <c r="P44" s="53"/>
      <c r="Q44" s="62"/>
      <c r="R44" s="53"/>
      <c r="S44" s="62"/>
      <c r="T44" s="53"/>
      <c r="U44" s="62"/>
      <c r="V44" s="53"/>
      <c r="W44" s="53"/>
      <c r="X44" s="62"/>
      <c r="Y44" s="53"/>
      <c r="Z44" s="62"/>
    </row>
    <row r="45" spans="1:26" ht="24" x14ac:dyDescent="0.25">
      <c r="A45" s="16" t="s">
        <v>182</v>
      </c>
      <c r="B45" s="24" t="s">
        <v>183</v>
      </c>
      <c r="C45" s="35" t="s">
        <v>184</v>
      </c>
      <c r="D45" s="36" t="s">
        <v>183</v>
      </c>
      <c r="E45" s="48" t="s">
        <v>185</v>
      </c>
      <c r="F45" s="82"/>
      <c r="G45" s="74"/>
      <c r="H45" s="53"/>
      <c r="I45" s="74" t="s">
        <v>37</v>
      </c>
      <c r="J45" s="53"/>
      <c r="K45" s="53"/>
      <c r="L45" s="63"/>
      <c r="M45" s="53"/>
      <c r="N45" s="53"/>
      <c r="O45" s="53"/>
      <c r="P45" s="53"/>
      <c r="Q45" s="63"/>
      <c r="R45" s="53"/>
      <c r="S45" s="63"/>
      <c r="T45" s="53"/>
      <c r="U45" s="63"/>
      <c r="V45" s="53"/>
      <c r="W45" s="53"/>
      <c r="X45" s="63"/>
      <c r="Y45" s="53"/>
      <c r="Z45" s="63"/>
    </row>
    <row r="46" spans="1:26" ht="45.6" x14ac:dyDescent="0.25">
      <c r="A46" s="15" t="s">
        <v>186</v>
      </c>
      <c r="B46" s="23" t="s">
        <v>187</v>
      </c>
      <c r="C46" s="28" t="s">
        <v>188</v>
      </c>
      <c r="D46" s="29" t="s">
        <v>189</v>
      </c>
      <c r="E46" s="49" t="s">
        <v>185</v>
      </c>
      <c r="F46" s="82"/>
      <c r="G46" s="75"/>
      <c r="H46" s="53" t="s">
        <v>41</v>
      </c>
      <c r="I46" s="75" t="s">
        <v>37</v>
      </c>
      <c r="J46" s="53"/>
      <c r="K46" s="53"/>
      <c r="L46" s="64"/>
      <c r="M46" s="53"/>
      <c r="N46" s="53"/>
      <c r="O46" s="53"/>
      <c r="P46" s="53"/>
      <c r="Q46" s="69"/>
      <c r="R46" s="53"/>
      <c r="S46" s="69"/>
      <c r="T46" s="53"/>
      <c r="U46" s="69"/>
      <c r="V46" s="53"/>
      <c r="W46" s="53"/>
      <c r="X46" s="70"/>
      <c r="Y46" s="53"/>
      <c r="Z46" s="70"/>
    </row>
    <row r="47" spans="1:26" ht="34.200000000000003" x14ac:dyDescent="0.25">
      <c r="A47" s="15" t="s">
        <v>190</v>
      </c>
      <c r="B47" s="23" t="s">
        <v>191</v>
      </c>
      <c r="C47" s="28" t="s">
        <v>192</v>
      </c>
      <c r="D47" s="29" t="s">
        <v>193</v>
      </c>
      <c r="E47" s="49" t="s">
        <v>194</v>
      </c>
      <c r="F47" s="82"/>
      <c r="G47" s="75"/>
      <c r="H47" s="53" t="s">
        <v>41</v>
      </c>
      <c r="I47" s="75" t="s">
        <v>37</v>
      </c>
      <c r="J47" s="53"/>
      <c r="K47" s="53"/>
      <c r="L47" s="64"/>
      <c r="M47" s="53"/>
      <c r="N47" s="53"/>
      <c r="O47" s="53"/>
      <c r="P47" s="53"/>
      <c r="Q47" s="69"/>
      <c r="R47" s="53"/>
      <c r="S47" s="69"/>
      <c r="T47" s="53"/>
      <c r="U47" s="69"/>
      <c r="V47" s="53"/>
      <c r="W47" s="53"/>
      <c r="X47" s="70"/>
      <c r="Y47" s="53"/>
      <c r="Z47" s="70"/>
    </row>
    <row r="48" spans="1:26" ht="34.200000000000003" x14ac:dyDescent="0.25">
      <c r="A48" s="15" t="s">
        <v>195</v>
      </c>
      <c r="B48" s="23" t="s">
        <v>196</v>
      </c>
      <c r="C48" s="28" t="s">
        <v>196</v>
      </c>
      <c r="D48" s="29" t="s">
        <v>197</v>
      </c>
      <c r="E48" s="49" t="s">
        <v>198</v>
      </c>
      <c r="F48" s="82"/>
      <c r="G48" s="75"/>
      <c r="H48" s="53" t="s">
        <v>41</v>
      </c>
      <c r="I48" s="75" t="s">
        <v>37</v>
      </c>
      <c r="J48" s="53"/>
      <c r="K48" s="53"/>
      <c r="L48" s="64"/>
      <c r="M48" s="53"/>
      <c r="N48" s="53"/>
      <c r="O48" s="53"/>
      <c r="P48" s="53"/>
      <c r="Q48" s="69"/>
      <c r="R48" s="53"/>
      <c r="S48" s="69"/>
      <c r="T48" s="53"/>
      <c r="U48" s="69"/>
      <c r="V48" s="53"/>
      <c r="W48" s="53"/>
      <c r="X48" s="70"/>
      <c r="Y48" s="53"/>
      <c r="Z48" s="70"/>
    </row>
    <row r="49" spans="1:26" ht="22.8" x14ac:dyDescent="0.25">
      <c r="A49" s="15" t="s">
        <v>199</v>
      </c>
      <c r="B49" s="23" t="s">
        <v>200</v>
      </c>
      <c r="C49" s="28" t="s">
        <v>201</v>
      </c>
      <c r="D49" s="29" t="s">
        <v>202</v>
      </c>
      <c r="E49" s="49" t="s">
        <v>203</v>
      </c>
      <c r="F49" s="82"/>
      <c r="G49" s="75"/>
      <c r="H49" s="53" t="s">
        <v>41</v>
      </c>
      <c r="I49" s="75" t="s">
        <v>37</v>
      </c>
      <c r="J49" s="53"/>
      <c r="K49" s="53"/>
      <c r="L49" s="64"/>
      <c r="M49" s="53"/>
      <c r="N49" s="53"/>
      <c r="O49" s="53"/>
      <c r="P49" s="53"/>
      <c r="Q49" s="69"/>
      <c r="R49" s="53"/>
      <c r="S49" s="69"/>
      <c r="T49" s="53"/>
      <c r="U49" s="69"/>
      <c r="V49" s="53"/>
      <c r="W49" s="53"/>
      <c r="X49" s="70"/>
      <c r="Y49" s="53"/>
      <c r="Z49" s="70"/>
    </row>
    <row r="50" spans="1:26" ht="68.400000000000006" x14ac:dyDescent="0.25">
      <c r="A50" s="15" t="s">
        <v>204</v>
      </c>
      <c r="B50" s="23" t="s">
        <v>205</v>
      </c>
      <c r="C50" s="28" t="s">
        <v>206</v>
      </c>
      <c r="D50" s="29" t="s">
        <v>207</v>
      </c>
      <c r="E50" s="49" t="s">
        <v>208</v>
      </c>
      <c r="F50" s="82"/>
      <c r="G50" s="75"/>
      <c r="H50" s="53" t="s">
        <v>41</v>
      </c>
      <c r="I50" s="75" t="s">
        <v>37</v>
      </c>
      <c r="J50" s="53"/>
      <c r="K50" s="53"/>
      <c r="L50" s="64"/>
      <c r="M50" s="53"/>
      <c r="N50" s="53"/>
      <c r="O50" s="53"/>
      <c r="P50" s="53"/>
      <c r="Q50" s="69"/>
      <c r="R50" s="53"/>
      <c r="S50" s="69"/>
      <c r="T50" s="53"/>
      <c r="U50" s="69"/>
      <c r="V50" s="53"/>
      <c r="W50" s="53"/>
      <c r="X50" s="70"/>
      <c r="Y50" s="53"/>
      <c r="Z50" s="70"/>
    </row>
    <row r="51" spans="1:26" ht="57" x14ac:dyDescent="0.25">
      <c r="A51" s="15" t="s">
        <v>209</v>
      </c>
      <c r="B51" s="23" t="s">
        <v>210</v>
      </c>
      <c r="C51" s="28" t="s">
        <v>211</v>
      </c>
      <c r="D51" s="29" t="s">
        <v>212</v>
      </c>
      <c r="E51" s="49" t="s">
        <v>213</v>
      </c>
      <c r="F51" s="82"/>
      <c r="G51" s="75"/>
      <c r="H51" s="53" t="s">
        <v>41</v>
      </c>
      <c r="I51" s="75" t="s">
        <v>37</v>
      </c>
      <c r="J51" s="53"/>
      <c r="K51" s="53"/>
      <c r="L51" s="64"/>
      <c r="M51" s="53"/>
      <c r="N51" s="53"/>
      <c r="O51" s="53"/>
      <c r="P51" s="53"/>
      <c r="Q51" s="69"/>
      <c r="R51" s="53"/>
      <c r="S51" s="69"/>
      <c r="T51" s="53"/>
      <c r="U51" s="69"/>
      <c r="V51" s="53"/>
      <c r="W51" s="53"/>
      <c r="X51" s="70"/>
      <c r="Y51" s="53"/>
      <c r="Z51" s="70"/>
    </row>
    <row r="52" spans="1:26" ht="24" x14ac:dyDescent="0.25">
      <c r="A52" s="16" t="s">
        <v>214</v>
      </c>
      <c r="B52" s="24" t="s">
        <v>215</v>
      </c>
      <c r="C52" s="35" t="s">
        <v>215</v>
      </c>
      <c r="D52" s="36" t="s">
        <v>216</v>
      </c>
      <c r="E52" s="48" t="s">
        <v>217</v>
      </c>
      <c r="F52" s="82"/>
      <c r="G52" s="74"/>
      <c r="H52" s="53"/>
      <c r="I52" s="74" t="s">
        <v>37</v>
      </c>
      <c r="J52" s="53"/>
      <c r="K52" s="53"/>
      <c r="L52" s="63" t="s">
        <v>66</v>
      </c>
      <c r="M52" s="53"/>
      <c r="N52" s="53"/>
      <c r="O52" s="53"/>
      <c r="P52" s="53"/>
      <c r="Q52" s="63"/>
      <c r="R52" s="53"/>
      <c r="S52" s="63"/>
      <c r="T52" s="53"/>
      <c r="U52" s="63"/>
      <c r="V52" s="53"/>
      <c r="W52" s="53"/>
      <c r="X52" s="63"/>
      <c r="Y52" s="53"/>
      <c r="Z52" s="63"/>
    </row>
    <row r="53" spans="1:26" ht="68.400000000000006" x14ac:dyDescent="0.25">
      <c r="A53" s="7" t="s">
        <v>218</v>
      </c>
      <c r="B53" s="23" t="s">
        <v>219</v>
      </c>
      <c r="C53" s="28" t="s">
        <v>220</v>
      </c>
      <c r="D53" s="29" t="s">
        <v>221</v>
      </c>
      <c r="E53" s="49" t="s">
        <v>222</v>
      </c>
      <c r="F53" s="82"/>
      <c r="G53" s="75"/>
      <c r="H53" s="53" t="s">
        <v>41</v>
      </c>
      <c r="I53" s="75" t="s">
        <v>37</v>
      </c>
      <c r="J53" s="53"/>
      <c r="K53" s="53"/>
      <c r="L53" s="64"/>
      <c r="M53" s="53"/>
      <c r="N53" s="53"/>
      <c r="O53" s="53"/>
      <c r="P53" s="53"/>
      <c r="Q53" s="69"/>
      <c r="R53" s="53"/>
      <c r="S53" s="69"/>
      <c r="T53" s="53"/>
      <c r="U53" s="69"/>
      <c r="V53" s="53"/>
      <c r="W53" s="53"/>
      <c r="X53" s="70"/>
      <c r="Y53" s="53"/>
      <c r="Z53" s="70"/>
    </row>
    <row r="54" spans="1:26" ht="68.400000000000006" x14ac:dyDescent="0.25">
      <c r="A54" s="7" t="s">
        <v>223</v>
      </c>
      <c r="B54" s="23" t="s">
        <v>224</v>
      </c>
      <c r="C54" s="28" t="s">
        <v>225</v>
      </c>
      <c r="D54" s="30" t="s">
        <v>226</v>
      </c>
      <c r="E54" s="49" t="s">
        <v>222</v>
      </c>
      <c r="F54" s="82"/>
      <c r="G54" s="75"/>
      <c r="H54" s="53" t="s">
        <v>41</v>
      </c>
      <c r="I54" s="75" t="s">
        <v>37</v>
      </c>
      <c r="J54" s="53"/>
      <c r="K54" s="53"/>
      <c r="L54" s="64"/>
      <c r="M54" s="53"/>
      <c r="N54" s="53"/>
      <c r="O54" s="53"/>
      <c r="P54" s="53"/>
      <c r="Q54" s="69"/>
      <c r="R54" s="53"/>
      <c r="S54" s="69"/>
      <c r="T54" s="53"/>
      <c r="U54" s="69"/>
      <c r="V54" s="53"/>
      <c r="W54" s="53"/>
      <c r="X54" s="70"/>
      <c r="Y54" s="53"/>
      <c r="Z54" s="70"/>
    </row>
    <row r="55" spans="1:26" ht="57" x14ac:dyDescent="0.25">
      <c r="A55" s="7" t="s">
        <v>227</v>
      </c>
      <c r="B55" s="23" t="s">
        <v>228</v>
      </c>
      <c r="C55" s="28" t="s">
        <v>229</v>
      </c>
      <c r="D55" s="29" t="s">
        <v>230</v>
      </c>
      <c r="E55" s="49" t="s">
        <v>222</v>
      </c>
      <c r="F55" s="82"/>
      <c r="G55" s="75"/>
      <c r="H55" s="53" t="s">
        <v>41</v>
      </c>
      <c r="I55" s="75" t="s">
        <v>37</v>
      </c>
      <c r="J55" s="53"/>
      <c r="K55" s="53"/>
      <c r="L55" s="64" t="s">
        <v>66</v>
      </c>
      <c r="M55" s="53"/>
      <c r="N55" s="53"/>
      <c r="O55" s="53"/>
      <c r="P55" s="53"/>
      <c r="Q55" s="69"/>
      <c r="R55" s="53"/>
      <c r="S55" s="69"/>
      <c r="T55" s="53"/>
      <c r="U55" s="69"/>
      <c r="V55" s="53"/>
      <c r="W55" s="53"/>
      <c r="X55" s="70"/>
      <c r="Y55" s="53"/>
      <c r="Z55" s="70"/>
    </row>
    <row r="56" spans="1:26" ht="24" x14ac:dyDescent="0.25">
      <c r="A56" s="9" t="s">
        <v>231</v>
      </c>
      <c r="B56" s="24" t="s">
        <v>232</v>
      </c>
      <c r="C56" s="35" t="s">
        <v>233</v>
      </c>
      <c r="D56" s="36" t="s">
        <v>234</v>
      </c>
      <c r="E56" s="48" t="s">
        <v>235</v>
      </c>
      <c r="F56" s="82"/>
      <c r="G56" s="74" t="s">
        <v>67</v>
      </c>
      <c r="H56" s="53"/>
      <c r="I56" s="74" t="s">
        <v>37</v>
      </c>
      <c r="J56" s="53"/>
      <c r="K56" s="53"/>
      <c r="L56" s="64"/>
      <c r="M56" s="53"/>
      <c r="N56" s="53"/>
      <c r="O56" s="53"/>
      <c r="P56" s="53"/>
      <c r="Q56" s="63"/>
      <c r="R56" s="53"/>
      <c r="S56" s="63"/>
      <c r="T56" s="53"/>
      <c r="U56" s="63"/>
      <c r="V56" s="53"/>
      <c r="W56" s="53"/>
      <c r="X56" s="63"/>
      <c r="Y56" s="53"/>
      <c r="Z56" s="63"/>
    </row>
    <row r="57" spans="1:26" ht="34.200000000000003" x14ac:dyDescent="0.25">
      <c r="A57" s="7" t="s">
        <v>236</v>
      </c>
      <c r="B57" s="23" t="s">
        <v>237</v>
      </c>
      <c r="C57" s="28" t="s">
        <v>238</v>
      </c>
      <c r="D57" s="29" t="s">
        <v>239</v>
      </c>
      <c r="E57" s="49" t="s">
        <v>240</v>
      </c>
      <c r="F57" s="82"/>
      <c r="G57" s="75" t="s">
        <v>67</v>
      </c>
      <c r="H57" s="53" t="s">
        <v>41</v>
      </c>
      <c r="I57" s="75" t="s">
        <v>37</v>
      </c>
      <c r="J57" s="53"/>
      <c r="K57" s="53"/>
      <c r="L57" s="64"/>
      <c r="M57" s="53"/>
      <c r="N57" s="53"/>
      <c r="O57" s="53"/>
      <c r="P57" s="53"/>
      <c r="Q57" s="69"/>
      <c r="R57" s="53"/>
      <c r="S57" s="69"/>
      <c r="T57" s="53"/>
      <c r="U57" s="69"/>
      <c r="V57" s="53"/>
      <c r="W57" s="53"/>
      <c r="X57" s="70"/>
      <c r="Y57" s="53"/>
      <c r="Z57" s="70"/>
    </row>
    <row r="58" spans="1:26" ht="22.8" x14ac:dyDescent="0.25">
      <c r="A58" s="7" t="s">
        <v>241</v>
      </c>
      <c r="B58" s="23" t="s">
        <v>242</v>
      </c>
      <c r="C58" s="28" t="s">
        <v>243</v>
      </c>
      <c r="D58" s="29" t="s">
        <v>244</v>
      </c>
      <c r="E58" s="49" t="s">
        <v>235</v>
      </c>
      <c r="F58" s="82"/>
      <c r="G58" s="75" t="s">
        <v>67</v>
      </c>
      <c r="H58" s="53" t="s">
        <v>41</v>
      </c>
      <c r="I58" s="75" t="s">
        <v>37</v>
      </c>
      <c r="J58" s="53"/>
      <c r="K58" s="53"/>
      <c r="L58" s="64"/>
      <c r="M58" s="53"/>
      <c r="N58" s="53"/>
      <c r="O58" s="53"/>
      <c r="P58" s="53"/>
      <c r="Q58" s="69"/>
      <c r="R58" s="53"/>
      <c r="S58" s="69"/>
      <c r="T58" s="53"/>
      <c r="U58" s="69"/>
      <c r="V58" s="53"/>
      <c r="W58" s="53"/>
      <c r="X58" s="70"/>
      <c r="Y58" s="53"/>
      <c r="Z58" s="70"/>
    </row>
    <row r="59" spans="1:26" ht="24" x14ac:dyDescent="0.25">
      <c r="A59" s="9" t="s">
        <v>245</v>
      </c>
      <c r="B59" s="24" t="s">
        <v>246</v>
      </c>
      <c r="C59" s="35" t="s">
        <v>246</v>
      </c>
      <c r="D59" s="36" t="s">
        <v>247</v>
      </c>
      <c r="E59" s="48" t="s">
        <v>248</v>
      </c>
      <c r="F59" s="82"/>
      <c r="G59" s="74"/>
      <c r="H59" s="53"/>
      <c r="I59" s="74" t="s">
        <v>37</v>
      </c>
      <c r="J59" s="53"/>
      <c r="K59" s="53"/>
      <c r="L59" s="64"/>
      <c r="M59" s="53"/>
      <c r="N59" s="53"/>
      <c r="O59" s="53"/>
      <c r="P59" s="53"/>
      <c r="Q59" s="63"/>
      <c r="R59" s="53"/>
      <c r="S59" s="63"/>
      <c r="T59" s="53"/>
      <c r="U59" s="63"/>
      <c r="V59" s="53"/>
      <c r="W59" s="53"/>
      <c r="X59" s="63"/>
      <c r="Y59" s="53"/>
      <c r="Z59" s="63"/>
    </row>
    <row r="60" spans="1:26" ht="34.200000000000003" x14ac:dyDescent="0.25">
      <c r="A60" s="7" t="s">
        <v>249</v>
      </c>
      <c r="B60" s="23" t="s">
        <v>250</v>
      </c>
      <c r="C60" s="28" t="s">
        <v>250</v>
      </c>
      <c r="D60" s="29" t="s">
        <v>251</v>
      </c>
      <c r="E60" s="49" t="s">
        <v>248</v>
      </c>
      <c r="F60" s="82"/>
      <c r="G60" s="75"/>
      <c r="H60" s="53" t="s">
        <v>41</v>
      </c>
      <c r="I60" s="75" t="s">
        <v>37</v>
      </c>
      <c r="J60" s="53"/>
      <c r="K60" s="53"/>
      <c r="L60" s="64"/>
      <c r="M60" s="53"/>
      <c r="N60" s="53"/>
      <c r="O60" s="53"/>
      <c r="P60" s="53"/>
      <c r="Q60" s="69"/>
      <c r="R60" s="53"/>
      <c r="S60" s="69"/>
      <c r="T60" s="53"/>
      <c r="U60" s="69"/>
      <c r="V60" s="53"/>
      <c r="W60" s="53"/>
      <c r="X60" s="70"/>
      <c r="Y60" s="53"/>
      <c r="Z60" s="70"/>
    </row>
    <row r="61" spans="1:26" ht="34.200000000000003" x14ac:dyDescent="0.25">
      <c r="A61" s="7" t="s">
        <v>252</v>
      </c>
      <c r="B61" s="23" t="s">
        <v>253</v>
      </c>
      <c r="C61" s="28" t="s">
        <v>254</v>
      </c>
      <c r="D61" s="29" t="s">
        <v>255</v>
      </c>
      <c r="E61" s="49" t="s">
        <v>248</v>
      </c>
      <c r="F61" s="82"/>
      <c r="G61" s="75"/>
      <c r="H61" s="53" t="s">
        <v>41</v>
      </c>
      <c r="I61" s="75" t="s">
        <v>37</v>
      </c>
      <c r="J61" s="53"/>
      <c r="K61" s="53"/>
      <c r="L61" s="64"/>
      <c r="M61" s="53"/>
      <c r="N61" s="53"/>
      <c r="O61" s="53"/>
      <c r="P61" s="53"/>
      <c r="Q61" s="69"/>
      <c r="R61" s="53"/>
      <c r="S61" s="69"/>
      <c r="T61" s="53"/>
      <c r="U61" s="69"/>
      <c r="V61" s="53"/>
      <c r="W61" s="53"/>
      <c r="X61" s="70"/>
      <c r="Y61" s="53"/>
      <c r="Z61" s="70"/>
    </row>
    <row r="62" spans="1:26" ht="57" x14ac:dyDescent="0.25">
      <c r="A62" s="7" t="s">
        <v>256</v>
      </c>
      <c r="B62" s="23" t="s">
        <v>257</v>
      </c>
      <c r="C62" s="28" t="s">
        <v>258</v>
      </c>
      <c r="D62" s="29" t="s">
        <v>259</v>
      </c>
      <c r="E62" s="49" t="s">
        <v>248</v>
      </c>
      <c r="F62" s="82"/>
      <c r="G62" s="75"/>
      <c r="H62" s="53" t="s">
        <v>41</v>
      </c>
      <c r="I62" s="75" t="s">
        <v>37</v>
      </c>
      <c r="J62" s="53"/>
      <c r="K62" s="53"/>
      <c r="L62" s="64"/>
      <c r="M62" s="53"/>
      <c r="N62" s="53"/>
      <c r="O62" s="53"/>
      <c r="P62" s="53"/>
      <c r="Q62" s="69"/>
      <c r="R62" s="53"/>
      <c r="S62" s="69"/>
      <c r="T62" s="53"/>
      <c r="U62" s="69"/>
      <c r="V62" s="53"/>
      <c r="W62" s="53"/>
      <c r="X62" s="70"/>
      <c r="Y62" s="53"/>
      <c r="Z62" s="70"/>
    </row>
    <row r="63" spans="1:26" ht="45.6" x14ac:dyDescent="0.25">
      <c r="A63" s="7" t="s">
        <v>260</v>
      </c>
      <c r="B63" s="23" t="s">
        <v>261</v>
      </c>
      <c r="C63" s="28" t="s">
        <v>262</v>
      </c>
      <c r="D63" s="29" t="s">
        <v>263</v>
      </c>
      <c r="E63" s="49" t="s">
        <v>248</v>
      </c>
      <c r="F63" s="82"/>
      <c r="G63" s="75"/>
      <c r="H63" s="53" t="s">
        <v>41</v>
      </c>
      <c r="I63" s="75" t="s">
        <v>37</v>
      </c>
      <c r="J63" s="53"/>
      <c r="K63" s="53"/>
      <c r="L63" s="62"/>
      <c r="M63" s="53"/>
      <c r="N63" s="53"/>
      <c r="O63" s="53"/>
      <c r="P63" s="53"/>
      <c r="Q63" s="69"/>
      <c r="R63" s="53"/>
      <c r="S63" s="69"/>
      <c r="T63" s="53"/>
      <c r="U63" s="69"/>
      <c r="V63" s="53"/>
      <c r="W63" s="53"/>
      <c r="X63" s="70"/>
      <c r="Y63" s="53"/>
      <c r="Z63" s="70"/>
    </row>
    <row r="64" spans="1:26" ht="45.6" x14ac:dyDescent="0.25">
      <c r="A64" s="7" t="s">
        <v>264</v>
      </c>
      <c r="B64" s="23" t="s">
        <v>265</v>
      </c>
      <c r="C64" s="28" t="s">
        <v>266</v>
      </c>
      <c r="D64" s="29" t="s">
        <v>267</v>
      </c>
      <c r="E64" s="49" t="s">
        <v>248</v>
      </c>
      <c r="F64" s="82"/>
      <c r="G64" s="75"/>
      <c r="H64" s="53" t="s">
        <v>41</v>
      </c>
      <c r="I64" s="75" t="s">
        <v>37</v>
      </c>
      <c r="J64" s="53"/>
      <c r="K64" s="53"/>
      <c r="L64" s="63"/>
      <c r="M64" s="53"/>
      <c r="N64" s="53"/>
      <c r="O64" s="53"/>
      <c r="P64" s="53"/>
      <c r="Q64" s="69"/>
      <c r="R64" s="53"/>
      <c r="S64" s="69"/>
      <c r="T64" s="53"/>
      <c r="U64" s="69"/>
      <c r="V64" s="53"/>
      <c r="W64" s="53"/>
      <c r="X64" s="70"/>
      <c r="Y64" s="53"/>
      <c r="Z64" s="70"/>
    </row>
    <row r="65" spans="1:26" ht="34.200000000000003" x14ac:dyDescent="0.25">
      <c r="A65" s="7" t="s">
        <v>268</v>
      </c>
      <c r="B65" s="23" t="s">
        <v>269</v>
      </c>
      <c r="C65" s="28" t="s">
        <v>270</v>
      </c>
      <c r="D65" s="29" t="s">
        <v>271</v>
      </c>
      <c r="E65" s="49" t="s">
        <v>248</v>
      </c>
      <c r="F65" s="82"/>
      <c r="G65" s="75"/>
      <c r="H65" s="53" t="s">
        <v>41</v>
      </c>
      <c r="I65" s="75" t="s">
        <v>37</v>
      </c>
      <c r="J65" s="53"/>
      <c r="K65" s="53"/>
      <c r="L65" s="64"/>
      <c r="M65" s="53"/>
      <c r="N65" s="53"/>
      <c r="O65" s="53"/>
      <c r="P65" s="53"/>
      <c r="Q65" s="69"/>
      <c r="R65" s="53"/>
      <c r="S65" s="69"/>
      <c r="T65" s="53"/>
      <c r="U65" s="69"/>
      <c r="V65" s="53"/>
      <c r="W65" s="53"/>
      <c r="X65" s="70"/>
      <c r="Y65" s="53"/>
      <c r="Z65" s="70"/>
    </row>
    <row r="66" spans="1:26" ht="34.200000000000003" x14ac:dyDescent="0.25">
      <c r="A66" s="7" t="s">
        <v>272</v>
      </c>
      <c r="B66" s="23" t="s">
        <v>273</v>
      </c>
      <c r="C66" s="28" t="s">
        <v>274</v>
      </c>
      <c r="D66" s="29" t="s">
        <v>275</v>
      </c>
      <c r="E66" s="49" t="s">
        <v>248</v>
      </c>
      <c r="F66" s="82"/>
      <c r="G66" s="75"/>
      <c r="H66" s="53" t="s">
        <v>41</v>
      </c>
      <c r="I66" s="75" t="s">
        <v>37</v>
      </c>
      <c r="J66" s="53"/>
      <c r="K66" s="53"/>
      <c r="L66" s="64"/>
      <c r="M66" s="53"/>
      <c r="N66" s="53"/>
      <c r="O66" s="53"/>
      <c r="P66" s="53"/>
      <c r="Q66" s="69"/>
      <c r="R66" s="53"/>
      <c r="S66" s="69"/>
      <c r="T66" s="53"/>
      <c r="U66" s="69"/>
      <c r="V66" s="53"/>
      <c r="W66" s="53"/>
      <c r="X66" s="70"/>
      <c r="Y66" s="53"/>
      <c r="Z66" s="70"/>
    </row>
    <row r="67" spans="1:26" ht="34.200000000000003" x14ac:dyDescent="0.25">
      <c r="A67" s="7" t="s">
        <v>276</v>
      </c>
      <c r="B67" s="23" t="s">
        <v>277</v>
      </c>
      <c r="C67" s="28" t="s">
        <v>278</v>
      </c>
      <c r="D67" s="29" t="s">
        <v>279</v>
      </c>
      <c r="E67" s="49" t="s">
        <v>248</v>
      </c>
      <c r="F67" s="82"/>
      <c r="G67" s="75"/>
      <c r="H67" s="53" t="s">
        <v>41</v>
      </c>
      <c r="I67" s="75" t="s">
        <v>37</v>
      </c>
      <c r="J67" s="53"/>
      <c r="K67" s="53"/>
      <c r="L67" s="64"/>
      <c r="M67" s="53"/>
      <c r="N67" s="53"/>
      <c r="O67" s="53"/>
      <c r="P67" s="53"/>
      <c r="Q67" s="69"/>
      <c r="R67" s="53"/>
      <c r="S67" s="69"/>
      <c r="T67" s="53"/>
      <c r="U67" s="69"/>
      <c r="V67" s="53"/>
      <c r="W67" s="53"/>
      <c r="X67" s="70"/>
      <c r="Y67" s="53"/>
      <c r="Z67" s="70"/>
    </row>
    <row r="68" spans="1:26" ht="34.200000000000003" x14ac:dyDescent="0.25">
      <c r="A68" s="7" t="s">
        <v>280</v>
      </c>
      <c r="B68" s="23" t="s">
        <v>281</v>
      </c>
      <c r="C68" s="28" t="s">
        <v>282</v>
      </c>
      <c r="D68" s="29" t="s">
        <v>283</v>
      </c>
      <c r="E68" s="49" t="s">
        <v>164</v>
      </c>
      <c r="F68" s="82"/>
      <c r="G68" s="75"/>
      <c r="H68" s="53" t="s">
        <v>41</v>
      </c>
      <c r="I68" s="75" t="s">
        <v>37</v>
      </c>
      <c r="J68" s="53"/>
      <c r="K68" s="53"/>
      <c r="L68" s="64"/>
      <c r="M68" s="53"/>
      <c r="N68" s="53"/>
      <c r="O68" s="53"/>
      <c r="P68" s="53"/>
      <c r="Q68" s="69"/>
      <c r="R68" s="53"/>
      <c r="S68" s="69"/>
      <c r="T68" s="53"/>
      <c r="U68" s="69"/>
      <c r="V68" s="53"/>
      <c r="W68" s="53"/>
      <c r="X68" s="70"/>
      <c r="Y68" s="53"/>
      <c r="Z68" s="70"/>
    </row>
    <row r="69" spans="1:26" ht="24" x14ac:dyDescent="0.25">
      <c r="A69" s="42" t="s">
        <v>284</v>
      </c>
      <c r="B69" s="43" t="s">
        <v>285</v>
      </c>
      <c r="C69" s="39" t="s">
        <v>286</v>
      </c>
      <c r="D69" s="44" t="s">
        <v>287</v>
      </c>
      <c r="E69" s="47" t="s">
        <v>288</v>
      </c>
      <c r="F69" s="81"/>
      <c r="G69" s="73"/>
      <c r="H69" s="53"/>
      <c r="I69" s="73"/>
      <c r="J69" s="53"/>
      <c r="K69" s="53"/>
      <c r="L69" s="64"/>
      <c r="M69" s="53"/>
      <c r="N69" s="53"/>
      <c r="O69" s="53"/>
      <c r="P69" s="53"/>
      <c r="Q69" s="62"/>
      <c r="R69" s="53"/>
      <c r="S69" s="62"/>
      <c r="T69" s="53"/>
      <c r="U69" s="62"/>
      <c r="V69" s="53"/>
      <c r="W69" s="53"/>
      <c r="X69" s="62"/>
      <c r="Y69" s="53"/>
      <c r="Z69" s="62"/>
    </row>
    <row r="70" spans="1:26" ht="24" x14ac:dyDescent="0.25">
      <c r="A70" s="9" t="s">
        <v>289</v>
      </c>
      <c r="B70" s="24" t="s">
        <v>290</v>
      </c>
      <c r="C70" s="35" t="s">
        <v>291</v>
      </c>
      <c r="D70" s="36" t="s">
        <v>35</v>
      </c>
      <c r="E70" s="48" t="s">
        <v>292</v>
      </c>
      <c r="F70" s="82"/>
      <c r="G70" s="74"/>
      <c r="H70" s="53"/>
      <c r="I70" s="74"/>
      <c r="J70" s="53"/>
      <c r="K70" s="53"/>
      <c r="L70" s="64"/>
      <c r="M70" s="53"/>
      <c r="N70" s="53"/>
      <c r="O70" s="53"/>
      <c r="P70" s="53"/>
      <c r="Q70" s="63" t="s">
        <v>37</v>
      </c>
      <c r="R70" s="53"/>
      <c r="S70" s="63" t="s">
        <v>67</v>
      </c>
      <c r="T70" s="53"/>
      <c r="U70" s="63"/>
      <c r="V70" s="53"/>
      <c r="W70" s="53"/>
      <c r="X70" s="63"/>
      <c r="Y70" s="53"/>
      <c r="Z70" s="63"/>
    </row>
    <row r="71" spans="1:26" ht="22.8" x14ac:dyDescent="0.25">
      <c r="A71" s="7" t="s">
        <v>293</v>
      </c>
      <c r="B71" s="23" t="s">
        <v>294</v>
      </c>
      <c r="C71" s="28" t="s">
        <v>295</v>
      </c>
      <c r="D71" s="29" t="s">
        <v>35</v>
      </c>
      <c r="E71" s="49" t="s">
        <v>292</v>
      </c>
      <c r="F71" s="82"/>
      <c r="G71" s="75"/>
      <c r="H71" s="53"/>
      <c r="I71" s="75"/>
      <c r="J71" s="53"/>
      <c r="K71" s="53"/>
      <c r="L71" s="63"/>
      <c r="M71" s="53"/>
      <c r="N71" s="53"/>
      <c r="O71" s="53"/>
      <c r="P71" s="53" t="s">
        <v>41</v>
      </c>
      <c r="Q71" s="69" t="s">
        <v>37</v>
      </c>
      <c r="R71" s="53"/>
      <c r="S71" s="69"/>
      <c r="T71" s="53"/>
      <c r="U71" s="69"/>
      <c r="V71" s="53"/>
      <c r="W71" s="53"/>
      <c r="X71" s="70"/>
      <c r="Y71" s="53"/>
      <c r="Z71" s="70"/>
    </row>
    <row r="72" spans="1:26" ht="45.6" x14ac:dyDescent="0.25">
      <c r="A72" s="7" t="s">
        <v>296</v>
      </c>
      <c r="B72" s="23" t="s">
        <v>297</v>
      </c>
      <c r="C72" s="28" t="s">
        <v>298</v>
      </c>
      <c r="D72" s="29" t="s">
        <v>45</v>
      </c>
      <c r="E72" s="49" t="s">
        <v>292</v>
      </c>
      <c r="F72" s="82"/>
      <c r="G72" s="75"/>
      <c r="H72" s="53"/>
      <c r="I72" s="75"/>
      <c r="J72" s="53"/>
      <c r="K72" s="53"/>
      <c r="L72" s="64"/>
      <c r="M72" s="53"/>
      <c r="N72" s="53"/>
      <c r="O72" s="53"/>
      <c r="P72" s="53" t="s">
        <v>41</v>
      </c>
      <c r="Q72" s="69" t="s">
        <v>37</v>
      </c>
      <c r="R72" s="53"/>
      <c r="S72" s="69"/>
      <c r="T72" s="53"/>
      <c r="U72" s="69"/>
      <c r="V72" s="53"/>
      <c r="W72" s="53"/>
      <c r="X72" s="70"/>
      <c r="Y72" s="53"/>
      <c r="Z72" s="70"/>
    </row>
    <row r="73" spans="1:26" ht="45.6" x14ac:dyDescent="0.25">
      <c r="A73" s="7" t="s">
        <v>299</v>
      </c>
      <c r="B73" s="23" t="s">
        <v>300</v>
      </c>
      <c r="C73" s="28" t="s">
        <v>301</v>
      </c>
      <c r="D73" s="29" t="s">
        <v>49</v>
      </c>
      <c r="E73" s="49" t="s">
        <v>292</v>
      </c>
      <c r="F73" s="82"/>
      <c r="G73" s="75"/>
      <c r="H73" s="53"/>
      <c r="I73" s="75"/>
      <c r="J73" s="53"/>
      <c r="K73" s="53"/>
      <c r="L73" s="63"/>
      <c r="M73" s="53"/>
      <c r="N73" s="53"/>
      <c r="O73" s="53"/>
      <c r="P73" s="53" t="s">
        <v>41</v>
      </c>
      <c r="Q73" s="69" t="s">
        <v>37</v>
      </c>
      <c r="R73" s="53"/>
      <c r="S73" s="69"/>
      <c r="T73" s="53"/>
      <c r="U73" s="69"/>
      <c r="V73" s="53"/>
      <c r="W73" s="53"/>
      <c r="X73" s="70"/>
      <c r="Y73" s="53"/>
      <c r="Z73" s="70"/>
    </row>
    <row r="74" spans="1:26" ht="57" x14ac:dyDescent="0.25">
      <c r="A74" s="7" t="s">
        <v>302</v>
      </c>
      <c r="B74" s="23" t="s">
        <v>303</v>
      </c>
      <c r="C74" s="28" t="s">
        <v>304</v>
      </c>
      <c r="D74" s="29" t="s">
        <v>305</v>
      </c>
      <c r="E74" s="49" t="s">
        <v>292</v>
      </c>
      <c r="F74" s="82"/>
      <c r="G74" s="75"/>
      <c r="H74" s="53"/>
      <c r="I74" s="75"/>
      <c r="J74" s="53"/>
      <c r="K74" s="53"/>
      <c r="L74" s="64"/>
      <c r="M74" s="53"/>
      <c r="N74" s="53"/>
      <c r="O74" s="53"/>
      <c r="P74" s="53" t="s">
        <v>41</v>
      </c>
      <c r="Q74" s="69" t="s">
        <v>37</v>
      </c>
      <c r="R74" s="53"/>
      <c r="S74" s="69"/>
      <c r="T74" s="53"/>
      <c r="U74" s="69"/>
      <c r="V74" s="53"/>
      <c r="W74" s="53"/>
      <c r="X74" s="70"/>
      <c r="Y74" s="53"/>
      <c r="Z74" s="70"/>
    </row>
    <row r="75" spans="1:26" ht="45.6" x14ac:dyDescent="0.25">
      <c r="A75" s="7" t="s">
        <v>306</v>
      </c>
      <c r="B75" s="23" t="s">
        <v>307</v>
      </c>
      <c r="C75" s="28" t="s">
        <v>308</v>
      </c>
      <c r="D75" s="29" t="s">
        <v>309</v>
      </c>
      <c r="E75" s="49" t="s">
        <v>292</v>
      </c>
      <c r="F75" s="82"/>
      <c r="G75" s="75"/>
      <c r="H75" s="53"/>
      <c r="I75" s="75"/>
      <c r="J75" s="53"/>
      <c r="K75" s="53"/>
      <c r="L75" s="63"/>
      <c r="M75" s="53"/>
      <c r="N75" s="53"/>
      <c r="O75" s="53"/>
      <c r="P75" s="53" t="s">
        <v>41</v>
      </c>
      <c r="Q75" s="69" t="s">
        <v>37</v>
      </c>
      <c r="R75" s="53"/>
      <c r="S75" s="69" t="s">
        <v>67</v>
      </c>
      <c r="T75" s="53"/>
      <c r="U75" s="69"/>
      <c r="V75" s="53"/>
      <c r="W75" s="53"/>
      <c r="X75" s="70"/>
      <c r="Y75" s="53"/>
      <c r="Z75" s="70"/>
    </row>
    <row r="76" spans="1:26" ht="57" x14ac:dyDescent="0.25">
      <c r="A76" s="7" t="s">
        <v>310</v>
      </c>
      <c r="B76" s="23" t="s">
        <v>311</v>
      </c>
      <c r="C76" s="28" t="s">
        <v>312</v>
      </c>
      <c r="D76" s="29" t="s">
        <v>313</v>
      </c>
      <c r="E76" s="49" t="s">
        <v>292</v>
      </c>
      <c r="F76" s="82"/>
      <c r="G76" s="75"/>
      <c r="H76" s="53"/>
      <c r="I76" s="75"/>
      <c r="J76" s="53"/>
      <c r="K76" s="53"/>
      <c r="L76" s="64"/>
      <c r="M76" s="53"/>
      <c r="N76" s="53"/>
      <c r="O76" s="53"/>
      <c r="P76" s="53" t="s">
        <v>41</v>
      </c>
      <c r="Q76" s="69" t="s">
        <v>37</v>
      </c>
      <c r="R76" s="53"/>
      <c r="S76" s="69"/>
      <c r="T76" s="53"/>
      <c r="U76" s="69"/>
      <c r="V76" s="53"/>
      <c r="W76" s="53"/>
      <c r="X76" s="70"/>
      <c r="Y76" s="53"/>
      <c r="Z76" s="70"/>
    </row>
    <row r="77" spans="1:26" ht="36" x14ac:dyDescent="0.25">
      <c r="A77" s="9" t="s">
        <v>314</v>
      </c>
      <c r="B77" s="24" t="s">
        <v>315</v>
      </c>
      <c r="C77" s="35" t="s">
        <v>316</v>
      </c>
      <c r="D77" s="41" t="s">
        <v>317</v>
      </c>
      <c r="E77" s="48" t="s">
        <v>318</v>
      </c>
      <c r="F77" s="82"/>
      <c r="G77" s="74"/>
      <c r="H77" s="53"/>
      <c r="I77" s="74"/>
      <c r="J77" s="53"/>
      <c r="K77" s="53"/>
      <c r="L77" s="63"/>
      <c r="M77" s="53"/>
      <c r="N77" s="53"/>
      <c r="O77" s="53"/>
      <c r="P77" s="53"/>
      <c r="Q77" s="63"/>
      <c r="R77" s="53"/>
      <c r="S77" s="63" t="s">
        <v>37</v>
      </c>
      <c r="T77" s="53"/>
      <c r="U77" s="63"/>
      <c r="V77" s="53"/>
      <c r="W77" s="53"/>
      <c r="X77" s="63" t="s">
        <v>67</v>
      </c>
      <c r="Y77" s="53"/>
      <c r="Z77" s="63"/>
    </row>
    <row r="78" spans="1:26" ht="22.8" x14ac:dyDescent="0.25">
      <c r="A78" s="7" t="s">
        <v>319</v>
      </c>
      <c r="B78" s="23" t="s">
        <v>315</v>
      </c>
      <c r="C78" s="28" t="s">
        <v>315</v>
      </c>
      <c r="D78" s="29" t="s">
        <v>320</v>
      </c>
      <c r="E78" s="49" t="s">
        <v>318</v>
      </c>
      <c r="F78" s="82"/>
      <c r="G78" s="75"/>
      <c r="H78" s="53"/>
      <c r="I78" s="75"/>
      <c r="J78" s="53"/>
      <c r="K78" s="53"/>
      <c r="L78" s="64"/>
      <c r="M78" s="53"/>
      <c r="N78" s="53"/>
      <c r="O78" s="53"/>
      <c r="P78" s="53" t="s">
        <v>41</v>
      </c>
      <c r="Q78" s="69"/>
      <c r="R78" s="53"/>
      <c r="S78" s="69" t="s">
        <v>37</v>
      </c>
      <c r="T78" s="53"/>
      <c r="U78" s="69"/>
      <c r="V78" s="53"/>
      <c r="W78" s="53"/>
      <c r="X78" s="70" t="s">
        <v>67</v>
      </c>
      <c r="Y78" s="53"/>
      <c r="Z78" s="70"/>
    </row>
    <row r="79" spans="1:26" ht="24" x14ac:dyDescent="0.25">
      <c r="A79" s="9" t="s">
        <v>321</v>
      </c>
      <c r="B79" s="24" t="s">
        <v>322</v>
      </c>
      <c r="C79" s="35" t="s">
        <v>323</v>
      </c>
      <c r="D79" s="36" t="s">
        <v>324</v>
      </c>
      <c r="E79" s="48" t="s">
        <v>325</v>
      </c>
      <c r="F79" s="82"/>
      <c r="G79" s="74"/>
      <c r="H79" s="53"/>
      <c r="I79" s="74"/>
      <c r="J79" s="53"/>
      <c r="K79" s="53"/>
      <c r="L79" s="63"/>
      <c r="M79" s="53"/>
      <c r="N79" s="53"/>
      <c r="O79" s="53"/>
      <c r="P79" s="53"/>
      <c r="Q79" s="63"/>
      <c r="R79" s="53"/>
      <c r="S79" s="63"/>
      <c r="T79" s="53"/>
      <c r="U79" s="63"/>
      <c r="V79" s="53"/>
      <c r="W79" s="53"/>
      <c r="X79" s="63" t="s">
        <v>37</v>
      </c>
      <c r="Y79" s="53"/>
      <c r="Z79" s="63" t="s">
        <v>67</v>
      </c>
    </row>
    <row r="80" spans="1:26" ht="57" x14ac:dyDescent="0.25">
      <c r="A80" s="7" t="s">
        <v>326</v>
      </c>
      <c r="B80" s="23" t="s">
        <v>327</v>
      </c>
      <c r="C80" s="28" t="s">
        <v>328</v>
      </c>
      <c r="D80" s="29" t="s">
        <v>329</v>
      </c>
      <c r="E80" s="49" t="s">
        <v>325</v>
      </c>
      <c r="F80" s="82"/>
      <c r="G80" s="75"/>
      <c r="H80" s="53"/>
      <c r="I80" s="75"/>
      <c r="J80" s="53"/>
      <c r="K80" s="53"/>
      <c r="L80" s="64"/>
      <c r="M80" s="53"/>
      <c r="N80" s="53"/>
      <c r="O80" s="53"/>
      <c r="P80" s="53"/>
      <c r="Q80" s="69"/>
      <c r="R80" s="53"/>
      <c r="S80" s="69"/>
      <c r="T80" s="53"/>
      <c r="U80" s="69"/>
      <c r="V80" s="53"/>
      <c r="W80" s="53"/>
      <c r="X80" s="70" t="s">
        <v>37</v>
      </c>
      <c r="Y80" s="53"/>
      <c r="Z80" s="70" t="s">
        <v>67</v>
      </c>
    </row>
    <row r="81" spans="1:26" ht="24" x14ac:dyDescent="0.25">
      <c r="A81" s="9" t="s">
        <v>330</v>
      </c>
      <c r="B81" s="24" t="s">
        <v>331</v>
      </c>
      <c r="C81" s="35" t="s">
        <v>331</v>
      </c>
      <c r="D81" s="36" t="s">
        <v>332</v>
      </c>
      <c r="E81" s="48" t="s">
        <v>333</v>
      </c>
      <c r="F81" s="82"/>
      <c r="G81" s="74"/>
      <c r="H81" s="53"/>
      <c r="I81" s="74"/>
      <c r="J81" s="53"/>
      <c r="K81" s="53"/>
      <c r="L81" s="63"/>
      <c r="M81" s="53"/>
      <c r="N81" s="53"/>
      <c r="O81" s="53"/>
      <c r="P81" s="53"/>
      <c r="Q81" s="63"/>
      <c r="R81" s="53"/>
      <c r="S81" s="63" t="s">
        <v>37</v>
      </c>
      <c r="T81" s="53"/>
      <c r="U81" s="63"/>
      <c r="V81" s="53"/>
      <c r="W81" s="53"/>
      <c r="X81" s="63"/>
      <c r="Y81" s="53"/>
      <c r="Z81" s="63"/>
    </row>
    <row r="82" spans="1:26" ht="79.8" x14ac:dyDescent="0.25">
      <c r="A82" s="7" t="s">
        <v>334</v>
      </c>
      <c r="B82" s="23" t="s">
        <v>335</v>
      </c>
      <c r="C82" s="28" t="s">
        <v>336</v>
      </c>
      <c r="D82" s="29" t="s">
        <v>337</v>
      </c>
      <c r="E82" s="49" t="s">
        <v>333</v>
      </c>
      <c r="F82" s="82"/>
      <c r="G82" s="75"/>
      <c r="H82" s="53"/>
      <c r="I82" s="75"/>
      <c r="J82" s="53"/>
      <c r="K82" s="53"/>
      <c r="L82" s="64"/>
      <c r="M82" s="53"/>
      <c r="N82" s="53"/>
      <c r="O82" s="53"/>
      <c r="P82" s="53" t="s">
        <v>41</v>
      </c>
      <c r="Q82" s="69"/>
      <c r="R82" s="53"/>
      <c r="S82" s="69" t="s">
        <v>37</v>
      </c>
      <c r="T82" s="53"/>
      <c r="U82" s="69"/>
      <c r="V82" s="53"/>
      <c r="W82" s="53"/>
      <c r="X82" s="70"/>
      <c r="Y82" s="53"/>
      <c r="Z82" s="70"/>
    </row>
    <row r="83" spans="1:26" ht="24" x14ac:dyDescent="0.25">
      <c r="A83" s="9" t="s">
        <v>338</v>
      </c>
      <c r="B83" s="24" t="s">
        <v>339</v>
      </c>
      <c r="C83" s="35" t="s">
        <v>339</v>
      </c>
      <c r="D83" s="36" t="s">
        <v>340</v>
      </c>
      <c r="E83" s="48" t="s">
        <v>341</v>
      </c>
      <c r="F83" s="82"/>
      <c r="G83" s="74"/>
      <c r="H83" s="53"/>
      <c r="I83" s="74"/>
      <c r="J83" s="53"/>
      <c r="K83" s="53"/>
      <c r="L83" s="64"/>
      <c r="M83" s="53"/>
      <c r="N83" s="53"/>
      <c r="O83" s="53"/>
      <c r="P83" s="53"/>
      <c r="Q83" s="63"/>
      <c r="R83" s="53"/>
      <c r="S83" s="63" t="s">
        <v>37</v>
      </c>
      <c r="T83" s="53"/>
      <c r="U83" s="63"/>
      <c r="V83" s="53"/>
      <c r="W83" s="53"/>
      <c r="X83" s="63" t="s">
        <v>67</v>
      </c>
      <c r="Y83" s="53"/>
      <c r="Z83" s="63"/>
    </row>
    <row r="84" spans="1:26" ht="34.200000000000003" x14ac:dyDescent="0.25">
      <c r="A84" s="7" t="s">
        <v>342</v>
      </c>
      <c r="B84" s="23" t="s">
        <v>343</v>
      </c>
      <c r="C84" s="28" t="s">
        <v>344</v>
      </c>
      <c r="D84" s="29" t="s">
        <v>345</v>
      </c>
      <c r="E84" s="49" t="s">
        <v>341</v>
      </c>
      <c r="F84" s="82"/>
      <c r="G84" s="75"/>
      <c r="H84" s="53"/>
      <c r="I84" s="75"/>
      <c r="J84" s="53"/>
      <c r="K84" s="53"/>
      <c r="L84" s="64"/>
      <c r="M84" s="53"/>
      <c r="N84" s="53"/>
      <c r="O84" s="53"/>
      <c r="P84" s="53" t="s">
        <v>37</v>
      </c>
      <c r="Q84" s="69"/>
      <c r="R84" s="53"/>
      <c r="S84" s="69" t="s">
        <v>37</v>
      </c>
      <c r="T84" s="53"/>
      <c r="U84" s="69"/>
      <c r="V84" s="53"/>
      <c r="W84" s="53" t="s">
        <v>67</v>
      </c>
      <c r="X84" s="70" t="s">
        <v>67</v>
      </c>
      <c r="Y84" s="53" t="s">
        <v>67</v>
      </c>
      <c r="Z84" s="70"/>
    </row>
    <row r="85" spans="1:26" ht="24" x14ac:dyDescent="0.25">
      <c r="A85" s="9" t="s">
        <v>346</v>
      </c>
      <c r="B85" s="24" t="s">
        <v>347</v>
      </c>
      <c r="C85" s="35" t="s">
        <v>347</v>
      </c>
      <c r="D85" s="36" t="s">
        <v>348</v>
      </c>
      <c r="E85" s="48" t="s">
        <v>349</v>
      </c>
      <c r="F85" s="82"/>
      <c r="G85" s="74"/>
      <c r="H85" s="53"/>
      <c r="I85" s="74"/>
      <c r="J85" s="53"/>
      <c r="K85" s="53"/>
      <c r="L85" s="64"/>
      <c r="M85" s="53"/>
      <c r="N85" s="53"/>
      <c r="O85" s="53"/>
      <c r="P85" s="53"/>
      <c r="Q85" s="63"/>
      <c r="R85" s="53"/>
      <c r="S85" s="63" t="s">
        <v>37</v>
      </c>
      <c r="T85" s="53"/>
      <c r="U85" s="63"/>
      <c r="V85" s="53"/>
      <c r="W85" s="53"/>
      <c r="X85" s="63" t="s">
        <v>67</v>
      </c>
      <c r="Y85" s="53"/>
      <c r="Z85" s="63"/>
    </row>
    <row r="86" spans="1:26" ht="68.400000000000006" x14ac:dyDescent="0.25">
      <c r="A86" s="7" t="s">
        <v>350</v>
      </c>
      <c r="B86" s="23" t="s">
        <v>351</v>
      </c>
      <c r="C86" s="28" t="s">
        <v>352</v>
      </c>
      <c r="D86" s="30" t="s">
        <v>353</v>
      </c>
      <c r="E86" s="49" t="s">
        <v>349</v>
      </c>
      <c r="F86" s="82"/>
      <c r="G86" s="75"/>
      <c r="H86" s="53"/>
      <c r="I86" s="75"/>
      <c r="J86" s="53"/>
      <c r="K86" s="53"/>
      <c r="L86" s="63"/>
      <c r="M86" s="53"/>
      <c r="N86" s="53"/>
      <c r="O86" s="53"/>
      <c r="P86" s="53" t="s">
        <v>41</v>
      </c>
      <c r="Q86" s="69"/>
      <c r="R86" s="53"/>
      <c r="S86" s="69" t="s">
        <v>37</v>
      </c>
      <c r="T86" s="53"/>
      <c r="U86" s="69"/>
      <c r="V86" s="53"/>
      <c r="W86" s="53" t="s">
        <v>41</v>
      </c>
      <c r="X86" s="70" t="s">
        <v>67</v>
      </c>
      <c r="Y86" s="53" t="s">
        <v>41</v>
      </c>
      <c r="Z86" s="70"/>
    </row>
    <row r="87" spans="1:26" ht="24" x14ac:dyDescent="0.25">
      <c r="A87" s="9" t="s">
        <v>354</v>
      </c>
      <c r="B87" s="24" t="s">
        <v>355</v>
      </c>
      <c r="C87" s="35" t="s">
        <v>355</v>
      </c>
      <c r="D87" s="36" t="s">
        <v>356</v>
      </c>
      <c r="E87" s="48"/>
      <c r="F87" s="82"/>
      <c r="G87" s="74"/>
      <c r="H87" s="53"/>
      <c r="I87" s="74"/>
      <c r="J87" s="53"/>
      <c r="K87" s="53"/>
      <c r="L87" s="64"/>
      <c r="M87" s="53"/>
      <c r="N87" s="53"/>
      <c r="O87" s="53"/>
      <c r="P87" s="53"/>
      <c r="Q87" s="63"/>
      <c r="R87" s="53"/>
      <c r="S87" s="63" t="s">
        <v>37</v>
      </c>
      <c r="T87" s="53"/>
      <c r="U87" s="63"/>
      <c r="V87" s="53"/>
      <c r="W87" s="53"/>
      <c r="X87" s="63"/>
      <c r="Y87" s="53"/>
      <c r="Z87" s="63"/>
    </row>
    <row r="88" spans="1:26" ht="34.200000000000003" x14ac:dyDescent="0.25">
      <c r="A88" s="7" t="s">
        <v>357</v>
      </c>
      <c r="B88" s="23" t="s">
        <v>358</v>
      </c>
      <c r="C88" s="28" t="s">
        <v>359</v>
      </c>
      <c r="D88" s="29" t="s">
        <v>360</v>
      </c>
      <c r="E88" s="49" t="s">
        <v>361</v>
      </c>
      <c r="F88" s="82"/>
      <c r="G88" s="75"/>
      <c r="H88" s="53"/>
      <c r="I88" s="75"/>
      <c r="J88" s="53"/>
      <c r="K88" s="53"/>
      <c r="L88" s="64"/>
      <c r="M88" s="53"/>
      <c r="N88" s="53"/>
      <c r="O88" s="53"/>
      <c r="P88" s="53" t="s">
        <v>41</v>
      </c>
      <c r="Q88" s="69"/>
      <c r="R88" s="53"/>
      <c r="S88" s="69" t="s">
        <v>37</v>
      </c>
      <c r="T88" s="53"/>
      <c r="U88" s="69"/>
      <c r="V88" s="53"/>
      <c r="W88" s="53"/>
      <c r="X88" s="70"/>
      <c r="Y88" s="53"/>
      <c r="Z88" s="70"/>
    </row>
    <row r="89" spans="1:26" ht="45.6" x14ac:dyDescent="0.25">
      <c r="A89" s="7" t="s">
        <v>362</v>
      </c>
      <c r="B89" s="23" t="s">
        <v>363</v>
      </c>
      <c r="C89" s="28" t="s">
        <v>364</v>
      </c>
      <c r="D89" s="29" t="s">
        <v>365</v>
      </c>
      <c r="E89" s="49" t="s">
        <v>361</v>
      </c>
      <c r="F89" s="82"/>
      <c r="G89" s="75"/>
      <c r="H89" s="53"/>
      <c r="I89" s="75"/>
      <c r="J89" s="53"/>
      <c r="K89" s="53"/>
      <c r="L89" s="64"/>
      <c r="M89" s="53"/>
      <c r="N89" s="53"/>
      <c r="O89" s="53"/>
      <c r="P89" s="53" t="s">
        <v>41</v>
      </c>
      <c r="Q89" s="69"/>
      <c r="R89" s="53"/>
      <c r="S89" s="69" t="s">
        <v>37</v>
      </c>
      <c r="T89" s="53"/>
      <c r="U89" s="69"/>
      <c r="V89" s="53"/>
      <c r="W89" s="53"/>
      <c r="X89" s="70"/>
      <c r="Y89" s="53"/>
      <c r="Z89" s="70"/>
    </row>
    <row r="90" spans="1:26" ht="34.200000000000003" x14ac:dyDescent="0.25">
      <c r="A90" s="7" t="s">
        <v>366</v>
      </c>
      <c r="B90" s="23" t="s">
        <v>367</v>
      </c>
      <c r="C90" s="28" t="s">
        <v>368</v>
      </c>
      <c r="D90" s="29" t="s">
        <v>369</v>
      </c>
      <c r="E90" s="49" t="s">
        <v>361</v>
      </c>
      <c r="F90" s="82"/>
      <c r="G90" s="75"/>
      <c r="H90" s="53"/>
      <c r="I90" s="75"/>
      <c r="J90" s="53"/>
      <c r="K90" s="53"/>
      <c r="L90" s="65"/>
      <c r="M90" s="53"/>
      <c r="N90" s="53"/>
      <c r="O90" s="53"/>
      <c r="P90" s="53" t="s">
        <v>41</v>
      </c>
      <c r="Q90" s="69"/>
      <c r="R90" s="53" t="s">
        <v>66</v>
      </c>
      <c r="S90" s="69" t="s">
        <v>37</v>
      </c>
      <c r="T90" s="53"/>
      <c r="U90" s="69"/>
      <c r="V90" s="53"/>
      <c r="W90" s="53" t="s">
        <v>67</v>
      </c>
      <c r="X90" s="70"/>
      <c r="Y90" s="53" t="s">
        <v>67</v>
      </c>
      <c r="Z90" s="70"/>
    </row>
    <row r="91" spans="1:26" ht="34.200000000000003" x14ac:dyDescent="0.25">
      <c r="A91" s="7" t="s">
        <v>370</v>
      </c>
      <c r="B91" s="23" t="s">
        <v>371</v>
      </c>
      <c r="C91" s="28" t="s">
        <v>372</v>
      </c>
      <c r="D91" s="29" t="s">
        <v>373</v>
      </c>
      <c r="E91" s="49" t="s">
        <v>361</v>
      </c>
      <c r="F91" s="82"/>
      <c r="G91" s="75"/>
      <c r="H91" s="53"/>
      <c r="I91" s="75"/>
      <c r="J91" s="53"/>
      <c r="K91" s="53"/>
      <c r="L91" s="65"/>
      <c r="M91" s="53"/>
      <c r="N91" s="53"/>
      <c r="O91" s="53"/>
      <c r="P91" s="53" t="s">
        <v>41</v>
      </c>
      <c r="Q91" s="69"/>
      <c r="R91" s="53"/>
      <c r="S91" s="69" t="s">
        <v>37</v>
      </c>
      <c r="T91" s="53"/>
      <c r="U91" s="69"/>
      <c r="V91" s="53"/>
      <c r="W91" s="53"/>
      <c r="X91" s="70"/>
      <c r="Y91" s="53"/>
      <c r="Z91" s="70"/>
    </row>
    <row r="92" spans="1:26" ht="24" x14ac:dyDescent="0.25">
      <c r="A92" s="9" t="s">
        <v>374</v>
      </c>
      <c r="B92" s="24" t="s">
        <v>375</v>
      </c>
      <c r="C92" s="35" t="s">
        <v>376</v>
      </c>
      <c r="D92" s="36" t="s">
        <v>377</v>
      </c>
      <c r="E92" s="48" t="s">
        <v>164</v>
      </c>
      <c r="F92" s="82"/>
      <c r="G92" s="74"/>
      <c r="H92" s="53"/>
      <c r="I92" s="74" t="s">
        <v>37</v>
      </c>
      <c r="J92" s="53"/>
      <c r="K92" s="53"/>
      <c r="L92" s="65"/>
      <c r="M92" s="53"/>
      <c r="N92" s="53"/>
      <c r="O92" s="53"/>
      <c r="P92" s="53"/>
      <c r="Q92" s="63"/>
      <c r="R92" s="53"/>
      <c r="S92" s="63" t="s">
        <v>101</v>
      </c>
      <c r="T92" s="53"/>
      <c r="U92" s="63"/>
      <c r="V92" s="53"/>
      <c r="W92" s="53" t="s">
        <v>67</v>
      </c>
      <c r="X92" s="63"/>
      <c r="Y92" s="53" t="s">
        <v>67</v>
      </c>
      <c r="Z92" s="63"/>
    </row>
    <row r="93" spans="1:26" ht="34.200000000000003" x14ac:dyDescent="0.25">
      <c r="A93" s="7" t="s">
        <v>378</v>
      </c>
      <c r="B93" s="23" t="s">
        <v>379</v>
      </c>
      <c r="C93" s="28" t="s">
        <v>380</v>
      </c>
      <c r="D93" s="29" t="s">
        <v>381</v>
      </c>
      <c r="E93" s="49" t="s">
        <v>164</v>
      </c>
      <c r="F93" s="82"/>
      <c r="G93" s="75" t="s">
        <v>67</v>
      </c>
      <c r="H93" s="53" t="s">
        <v>41</v>
      </c>
      <c r="I93" s="75" t="s">
        <v>37</v>
      </c>
      <c r="J93" s="53"/>
      <c r="K93" s="53"/>
      <c r="L93" s="65"/>
      <c r="M93" s="53"/>
      <c r="N93" s="53"/>
      <c r="O93" s="53"/>
      <c r="P93" s="53"/>
      <c r="Q93" s="69"/>
      <c r="R93" s="53"/>
      <c r="S93" s="69"/>
      <c r="T93" s="53"/>
      <c r="U93" s="69"/>
      <c r="V93" s="53"/>
      <c r="W93" s="53"/>
      <c r="X93" s="70"/>
      <c r="Y93" s="53"/>
      <c r="Z93" s="70"/>
    </row>
    <row r="94" spans="1:26" ht="34.200000000000003" x14ac:dyDescent="0.25">
      <c r="A94" s="7" t="s">
        <v>382</v>
      </c>
      <c r="B94" s="23" t="s">
        <v>383</v>
      </c>
      <c r="C94" s="28" t="s">
        <v>384</v>
      </c>
      <c r="D94" s="29" t="s">
        <v>385</v>
      </c>
      <c r="E94" s="49" t="s">
        <v>164</v>
      </c>
      <c r="F94" s="82"/>
      <c r="G94" s="75" t="s">
        <v>67</v>
      </c>
      <c r="H94" s="53" t="s">
        <v>41</v>
      </c>
      <c r="I94" s="75" t="s">
        <v>37</v>
      </c>
      <c r="J94" s="53"/>
      <c r="K94" s="53"/>
      <c r="L94" s="65"/>
      <c r="M94" s="53"/>
      <c r="N94" s="53"/>
      <c r="O94" s="53"/>
      <c r="P94" s="53"/>
      <c r="Q94" s="69"/>
      <c r="R94" s="53"/>
      <c r="S94" s="69"/>
      <c r="T94" s="53"/>
      <c r="U94" s="69"/>
      <c r="V94" s="53"/>
      <c r="W94" s="53"/>
      <c r="X94" s="70"/>
      <c r="Y94" s="53"/>
      <c r="Z94" s="70"/>
    </row>
    <row r="95" spans="1:26" ht="22.8" x14ac:dyDescent="0.25">
      <c r="A95" s="7" t="s">
        <v>386</v>
      </c>
      <c r="B95" s="23" t="s">
        <v>387</v>
      </c>
      <c r="C95" s="28" t="s">
        <v>388</v>
      </c>
      <c r="D95" s="29" t="s">
        <v>389</v>
      </c>
      <c r="E95" s="49" t="s">
        <v>164</v>
      </c>
      <c r="F95" s="82"/>
      <c r="G95" s="75"/>
      <c r="H95" s="53" t="s">
        <v>41</v>
      </c>
      <c r="I95" s="75" t="s">
        <v>37</v>
      </c>
      <c r="J95" s="53"/>
      <c r="K95" s="53"/>
      <c r="L95" s="65"/>
      <c r="M95" s="53"/>
      <c r="N95" s="53"/>
      <c r="O95" s="53"/>
      <c r="P95" s="53" t="s">
        <v>101</v>
      </c>
      <c r="Q95" s="69"/>
      <c r="R95" s="53"/>
      <c r="S95" s="69" t="s">
        <v>101</v>
      </c>
      <c r="T95" s="53"/>
      <c r="U95" s="69"/>
      <c r="V95" s="53"/>
      <c r="W95" s="53"/>
      <c r="X95" s="70"/>
      <c r="Y95" s="53"/>
      <c r="Z95" s="70"/>
    </row>
    <row r="96" spans="1:26" ht="24" x14ac:dyDescent="0.25">
      <c r="A96" s="42" t="s">
        <v>390</v>
      </c>
      <c r="B96" s="43" t="s">
        <v>391</v>
      </c>
      <c r="C96" s="39" t="s">
        <v>392</v>
      </c>
      <c r="D96" s="44" t="s">
        <v>393</v>
      </c>
      <c r="E96" s="47" t="s">
        <v>394</v>
      </c>
      <c r="F96" s="81"/>
      <c r="G96" s="75"/>
      <c r="H96" s="53"/>
      <c r="I96" s="73"/>
      <c r="J96" s="53"/>
      <c r="K96" s="53"/>
      <c r="L96" s="62"/>
      <c r="M96" s="53"/>
      <c r="N96" s="53"/>
      <c r="O96" s="53"/>
      <c r="P96" s="53"/>
      <c r="Q96" s="62"/>
      <c r="R96" s="53"/>
      <c r="S96" s="62"/>
      <c r="T96" s="53"/>
      <c r="U96" s="62"/>
      <c r="V96" s="53"/>
      <c r="W96" s="53"/>
      <c r="X96" s="62"/>
      <c r="Y96" s="53"/>
      <c r="Z96" s="62"/>
    </row>
    <row r="97" spans="1:27" ht="24" x14ac:dyDescent="0.25">
      <c r="A97" s="9" t="s">
        <v>395</v>
      </c>
      <c r="B97" s="24" t="s">
        <v>396</v>
      </c>
      <c r="C97" s="35" t="s">
        <v>396</v>
      </c>
      <c r="D97" s="36" t="s">
        <v>397</v>
      </c>
      <c r="E97" s="48" t="s">
        <v>398</v>
      </c>
      <c r="F97" s="82"/>
      <c r="G97" s="75"/>
      <c r="H97" s="53"/>
      <c r="I97" s="74"/>
      <c r="J97" s="53"/>
      <c r="K97" s="53"/>
      <c r="L97" s="63"/>
      <c r="M97" s="53"/>
      <c r="N97" s="53"/>
      <c r="O97" s="53"/>
      <c r="P97" s="53"/>
      <c r="Q97" s="63"/>
      <c r="R97" s="53"/>
      <c r="S97" s="63" t="s">
        <v>37</v>
      </c>
      <c r="T97" s="53"/>
      <c r="U97" s="63"/>
      <c r="V97" s="53"/>
      <c r="W97" s="53"/>
      <c r="X97" s="63" t="s">
        <v>67</v>
      </c>
      <c r="Y97" s="53"/>
      <c r="Z97" s="63"/>
    </row>
    <row r="98" spans="1:27" ht="34.200000000000003" x14ac:dyDescent="0.25">
      <c r="A98" s="7" t="s">
        <v>399</v>
      </c>
      <c r="B98" s="23" t="s">
        <v>400</v>
      </c>
      <c r="C98" s="28" t="s">
        <v>401</v>
      </c>
      <c r="D98" s="29" t="s">
        <v>402</v>
      </c>
      <c r="E98" s="49" t="s">
        <v>398</v>
      </c>
      <c r="F98" s="82"/>
      <c r="G98" s="75"/>
      <c r="H98" s="53" t="s">
        <v>101</v>
      </c>
      <c r="I98" s="75" t="s">
        <v>101</v>
      </c>
      <c r="J98" s="53"/>
      <c r="K98" s="53"/>
      <c r="L98" s="64"/>
      <c r="M98" s="53"/>
      <c r="N98" s="53"/>
      <c r="O98" s="53"/>
      <c r="P98" s="53" t="s">
        <v>41</v>
      </c>
      <c r="Q98" s="69"/>
      <c r="R98" s="53"/>
      <c r="S98" s="69" t="s">
        <v>37</v>
      </c>
      <c r="T98" s="53"/>
      <c r="U98" s="69"/>
      <c r="V98" s="53"/>
      <c r="W98" s="53"/>
      <c r="X98" s="70" t="s">
        <v>67</v>
      </c>
      <c r="Y98" s="53"/>
      <c r="Z98" s="70"/>
    </row>
    <row r="99" spans="1:27" ht="34.200000000000003" x14ac:dyDescent="0.25">
      <c r="A99" s="7" t="s">
        <v>403</v>
      </c>
      <c r="B99" s="23" t="s">
        <v>404</v>
      </c>
      <c r="C99" s="28" t="s">
        <v>405</v>
      </c>
      <c r="D99" s="29" t="s">
        <v>406</v>
      </c>
      <c r="E99" s="49" t="s">
        <v>407</v>
      </c>
      <c r="F99" s="82"/>
      <c r="G99" s="74"/>
      <c r="H99" s="53" t="s">
        <v>101</v>
      </c>
      <c r="I99" s="75" t="s">
        <v>101</v>
      </c>
      <c r="J99" s="53"/>
      <c r="K99" s="53"/>
      <c r="L99" s="64"/>
      <c r="M99" s="53"/>
      <c r="N99" s="53"/>
      <c r="O99" s="53"/>
      <c r="P99" s="53" t="s">
        <v>41</v>
      </c>
      <c r="Q99" s="69"/>
      <c r="R99" s="53"/>
      <c r="S99" s="69" t="s">
        <v>37</v>
      </c>
      <c r="T99" s="53"/>
      <c r="U99" s="69"/>
      <c r="V99" s="53"/>
      <c r="W99" s="53"/>
      <c r="X99" s="70" t="s">
        <v>67</v>
      </c>
      <c r="Y99" s="53"/>
      <c r="Z99" s="70"/>
    </row>
    <row r="100" spans="1:27" ht="22.8" x14ac:dyDescent="0.25">
      <c r="A100" s="7" t="s">
        <v>408</v>
      </c>
      <c r="B100" s="23" t="s">
        <v>409</v>
      </c>
      <c r="C100" s="28" t="s">
        <v>410</v>
      </c>
      <c r="D100" s="29" t="s">
        <v>411</v>
      </c>
      <c r="E100" s="49" t="s">
        <v>412</v>
      </c>
      <c r="F100" s="82"/>
      <c r="G100" s="75"/>
      <c r="H100" s="53" t="s">
        <v>101</v>
      </c>
      <c r="I100" s="75" t="s">
        <v>101</v>
      </c>
      <c r="J100" s="53"/>
      <c r="K100" s="53"/>
      <c r="L100" s="64"/>
      <c r="M100" s="53"/>
      <c r="N100" s="53"/>
      <c r="O100" s="53"/>
      <c r="P100" s="53" t="s">
        <v>41</v>
      </c>
      <c r="Q100" s="69"/>
      <c r="R100" s="53"/>
      <c r="S100" s="69" t="s">
        <v>37</v>
      </c>
      <c r="T100" s="53"/>
      <c r="U100" s="69"/>
      <c r="V100" s="53"/>
      <c r="W100" s="53"/>
      <c r="X100" s="70" t="s">
        <v>67</v>
      </c>
      <c r="Y100" s="53"/>
      <c r="Z100" s="70"/>
    </row>
    <row r="101" spans="1:27" ht="34.200000000000003" x14ac:dyDescent="0.25">
      <c r="A101" s="7" t="s">
        <v>413</v>
      </c>
      <c r="B101" s="23" t="s">
        <v>414</v>
      </c>
      <c r="C101" s="28" t="s">
        <v>415</v>
      </c>
      <c r="D101" s="29" t="s">
        <v>416</v>
      </c>
      <c r="E101" s="49" t="s">
        <v>417</v>
      </c>
      <c r="F101" s="82"/>
      <c r="G101" s="75"/>
      <c r="H101" s="53" t="s">
        <v>101</v>
      </c>
      <c r="I101" s="75" t="s">
        <v>101</v>
      </c>
      <c r="J101" s="53"/>
      <c r="K101" s="53"/>
      <c r="L101" s="64"/>
      <c r="M101" s="53"/>
      <c r="N101" s="53"/>
      <c r="O101" s="53"/>
      <c r="P101" s="53" t="s">
        <v>41</v>
      </c>
      <c r="Q101" s="69"/>
      <c r="R101" s="53"/>
      <c r="S101" s="69" t="s">
        <v>37</v>
      </c>
      <c r="T101" s="53"/>
      <c r="U101" s="69"/>
      <c r="V101" s="53"/>
      <c r="W101" s="53"/>
      <c r="X101" s="70" t="s">
        <v>67</v>
      </c>
      <c r="Y101" s="53"/>
      <c r="Z101" s="70"/>
    </row>
    <row r="102" spans="1:27" ht="34.200000000000003" x14ac:dyDescent="0.25">
      <c r="A102" s="7" t="s">
        <v>418</v>
      </c>
      <c r="B102" s="23" t="s">
        <v>419</v>
      </c>
      <c r="C102" s="28" t="s">
        <v>420</v>
      </c>
      <c r="D102" s="30" t="s">
        <v>421</v>
      </c>
      <c r="E102" s="49" t="s">
        <v>422</v>
      </c>
      <c r="F102" s="82"/>
      <c r="G102" s="74"/>
      <c r="H102" s="53" t="s">
        <v>101</v>
      </c>
      <c r="I102" s="75" t="s">
        <v>101</v>
      </c>
      <c r="J102" s="53"/>
      <c r="K102" s="53"/>
      <c r="L102" s="64"/>
      <c r="M102" s="53"/>
      <c r="N102" s="53"/>
      <c r="O102" s="53"/>
      <c r="P102" s="53" t="s">
        <v>41</v>
      </c>
      <c r="Q102" s="69"/>
      <c r="R102" s="53"/>
      <c r="S102" s="69" t="s">
        <v>37</v>
      </c>
      <c r="T102" s="53"/>
      <c r="U102" s="69"/>
      <c r="V102" s="53"/>
      <c r="W102" s="53"/>
      <c r="X102" s="70" t="s">
        <v>67</v>
      </c>
      <c r="Y102" s="53"/>
      <c r="Z102" s="70"/>
    </row>
    <row r="103" spans="1:27" ht="34.200000000000003" x14ac:dyDescent="0.25">
      <c r="A103" s="7" t="s">
        <v>423</v>
      </c>
      <c r="B103" s="23" t="s">
        <v>424</v>
      </c>
      <c r="C103" s="28" t="s">
        <v>425</v>
      </c>
      <c r="D103" s="29" t="s">
        <v>426</v>
      </c>
      <c r="E103" s="49" t="s">
        <v>427</v>
      </c>
      <c r="F103" s="82"/>
      <c r="G103" s="77"/>
      <c r="H103" s="53" t="s">
        <v>101</v>
      </c>
      <c r="I103" s="75" t="s">
        <v>101</v>
      </c>
      <c r="J103" s="53"/>
      <c r="K103" s="53"/>
      <c r="L103" s="64"/>
      <c r="M103" s="53"/>
      <c r="N103" s="53"/>
      <c r="O103" s="53"/>
      <c r="P103" s="53" t="s">
        <v>41</v>
      </c>
      <c r="Q103" s="69"/>
      <c r="R103" s="53"/>
      <c r="S103" s="69" t="s">
        <v>37</v>
      </c>
      <c r="T103" s="53"/>
      <c r="U103" s="69"/>
      <c r="V103" s="53"/>
      <c r="W103" s="53"/>
      <c r="X103" s="70" t="s">
        <v>67</v>
      </c>
      <c r="Y103" s="53"/>
      <c r="Z103" s="70"/>
      <c r="AA103" t="s">
        <v>428</v>
      </c>
    </row>
    <row r="104" spans="1:27" ht="34.200000000000003" x14ac:dyDescent="0.25">
      <c r="A104" s="7" t="s">
        <v>429</v>
      </c>
      <c r="B104" s="23" t="s">
        <v>430</v>
      </c>
      <c r="C104" s="28" t="s">
        <v>431</v>
      </c>
      <c r="D104" s="29" t="s">
        <v>432</v>
      </c>
      <c r="E104" s="49" t="s">
        <v>433</v>
      </c>
      <c r="F104" s="82"/>
      <c r="G104" s="75"/>
      <c r="H104" s="53" t="s">
        <v>101</v>
      </c>
      <c r="I104" s="75" t="s">
        <v>101</v>
      </c>
      <c r="J104" s="53"/>
      <c r="K104" s="53"/>
      <c r="L104" s="64"/>
      <c r="M104" s="53"/>
      <c r="N104" s="53"/>
      <c r="O104" s="53"/>
      <c r="P104" s="53" t="s">
        <v>41</v>
      </c>
      <c r="Q104" s="69"/>
      <c r="R104" s="53"/>
      <c r="S104" s="69" t="s">
        <v>37</v>
      </c>
      <c r="T104" s="53"/>
      <c r="U104" s="69"/>
      <c r="V104" s="53"/>
      <c r="W104" s="53" t="s">
        <v>67</v>
      </c>
      <c r="X104" s="70" t="s">
        <v>67</v>
      </c>
      <c r="Y104" s="53" t="s">
        <v>67</v>
      </c>
      <c r="Z104" s="70"/>
    </row>
    <row r="105" spans="1:27" ht="24" x14ac:dyDescent="0.25">
      <c r="A105" s="9" t="s">
        <v>434</v>
      </c>
      <c r="B105" s="24" t="s">
        <v>435</v>
      </c>
      <c r="C105" s="35" t="s">
        <v>435</v>
      </c>
      <c r="D105" s="36" t="s">
        <v>436</v>
      </c>
      <c r="E105" s="48" t="s">
        <v>437</v>
      </c>
      <c r="F105" s="82"/>
      <c r="G105" s="75"/>
      <c r="H105" s="53"/>
      <c r="I105" s="74" t="s">
        <v>101</v>
      </c>
      <c r="J105" s="53"/>
      <c r="K105" s="53"/>
      <c r="L105" s="63"/>
      <c r="M105" s="53"/>
      <c r="N105" s="53"/>
      <c r="O105" s="53"/>
      <c r="P105" s="53"/>
      <c r="Q105" s="63"/>
      <c r="R105" s="53"/>
      <c r="S105" s="63" t="s">
        <v>37</v>
      </c>
      <c r="T105" s="53"/>
      <c r="U105" s="63"/>
      <c r="V105" s="53"/>
      <c r="W105" s="53" t="s">
        <v>67</v>
      </c>
      <c r="X105" s="63" t="s">
        <v>67</v>
      </c>
      <c r="Y105" s="53" t="s">
        <v>67</v>
      </c>
      <c r="Z105" s="63"/>
    </row>
    <row r="106" spans="1:27" ht="34.200000000000003" x14ac:dyDescent="0.25">
      <c r="A106" s="7" t="s">
        <v>438</v>
      </c>
      <c r="B106" s="23" t="s">
        <v>439</v>
      </c>
      <c r="C106" s="28" t="s">
        <v>440</v>
      </c>
      <c r="D106" s="29" t="s">
        <v>441</v>
      </c>
      <c r="E106" s="49" t="s">
        <v>437</v>
      </c>
      <c r="F106" s="82"/>
      <c r="G106" s="75"/>
      <c r="H106" s="53"/>
      <c r="I106" s="75"/>
      <c r="J106" s="53"/>
      <c r="K106" s="53"/>
      <c r="L106" s="64"/>
      <c r="M106" s="53"/>
      <c r="N106" s="53"/>
      <c r="O106" s="53"/>
      <c r="P106" s="53" t="s">
        <v>41</v>
      </c>
      <c r="Q106" s="69"/>
      <c r="R106" s="53"/>
      <c r="S106" s="69" t="s">
        <v>37</v>
      </c>
      <c r="T106" s="53"/>
      <c r="U106" s="69"/>
      <c r="V106" s="53"/>
      <c r="W106" s="53" t="s">
        <v>67</v>
      </c>
      <c r="X106" s="70" t="s">
        <v>67</v>
      </c>
      <c r="Y106" s="53" t="s">
        <v>67</v>
      </c>
      <c r="Z106" s="70"/>
    </row>
    <row r="107" spans="1:27" ht="34.200000000000003" x14ac:dyDescent="0.25">
      <c r="A107" s="7" t="s">
        <v>442</v>
      </c>
      <c r="B107" s="23" t="s">
        <v>443</v>
      </c>
      <c r="C107" s="28" t="s">
        <v>444</v>
      </c>
      <c r="D107" s="29" t="s">
        <v>445</v>
      </c>
      <c r="E107" s="49" t="s">
        <v>164</v>
      </c>
      <c r="F107" s="82"/>
      <c r="G107" s="75"/>
      <c r="H107" s="53"/>
      <c r="I107" s="75"/>
      <c r="J107" s="53"/>
      <c r="K107" s="53"/>
      <c r="L107" s="64"/>
      <c r="M107" s="53"/>
      <c r="N107" s="53"/>
      <c r="O107" s="53"/>
      <c r="P107" s="53" t="s">
        <v>41</v>
      </c>
      <c r="Q107" s="69"/>
      <c r="R107" s="53"/>
      <c r="S107" s="69" t="s">
        <v>37</v>
      </c>
      <c r="T107" s="53"/>
      <c r="U107" s="69"/>
      <c r="V107" s="53"/>
      <c r="W107" s="53" t="s">
        <v>67</v>
      </c>
      <c r="X107" s="70" t="s">
        <v>67</v>
      </c>
      <c r="Y107" s="53" t="s">
        <v>67</v>
      </c>
      <c r="Z107" s="70"/>
    </row>
    <row r="108" spans="1:27" ht="24" x14ac:dyDescent="0.25">
      <c r="A108" s="9" t="s">
        <v>446</v>
      </c>
      <c r="B108" s="24" t="s">
        <v>447</v>
      </c>
      <c r="C108" s="35" t="s">
        <v>447</v>
      </c>
      <c r="D108" s="36" t="s">
        <v>447</v>
      </c>
      <c r="E108" s="48" t="s">
        <v>448</v>
      </c>
      <c r="F108" s="82"/>
      <c r="G108" s="75"/>
      <c r="H108" s="53"/>
      <c r="I108" s="74"/>
      <c r="J108" s="53"/>
      <c r="K108" s="53"/>
      <c r="L108" s="63"/>
      <c r="M108" s="53"/>
      <c r="N108" s="53"/>
      <c r="O108" s="53"/>
      <c r="P108" s="53"/>
      <c r="Q108" s="63"/>
      <c r="R108" s="53"/>
      <c r="S108" s="63" t="s">
        <v>37</v>
      </c>
      <c r="T108" s="53"/>
      <c r="U108" s="63"/>
      <c r="V108" s="53"/>
      <c r="W108" s="53" t="s">
        <v>67</v>
      </c>
      <c r="X108" s="63"/>
      <c r="Y108" s="53" t="s">
        <v>67</v>
      </c>
      <c r="Z108" s="63"/>
    </row>
    <row r="109" spans="1:27" ht="22.8" x14ac:dyDescent="0.25">
      <c r="A109" s="7" t="s">
        <v>449</v>
      </c>
      <c r="B109" s="23" t="s">
        <v>447</v>
      </c>
      <c r="C109" s="28" t="s">
        <v>447</v>
      </c>
      <c r="D109" s="29" t="s">
        <v>450</v>
      </c>
      <c r="E109" s="49" t="s">
        <v>448</v>
      </c>
      <c r="F109" s="82"/>
      <c r="G109" s="74"/>
      <c r="H109" s="53"/>
      <c r="I109" s="77"/>
      <c r="J109" s="53"/>
      <c r="K109" s="53"/>
      <c r="L109" s="66"/>
      <c r="M109" s="53"/>
      <c r="N109" s="53"/>
      <c r="O109" s="53"/>
      <c r="P109" s="53" t="s">
        <v>41</v>
      </c>
      <c r="Q109" s="69"/>
      <c r="R109" s="53"/>
      <c r="S109" s="69" t="s">
        <v>37</v>
      </c>
      <c r="T109" s="53"/>
      <c r="U109" s="69"/>
      <c r="V109" s="53"/>
      <c r="W109" s="53" t="s">
        <v>67</v>
      </c>
      <c r="X109" s="70"/>
      <c r="Y109" s="53" t="s">
        <v>67</v>
      </c>
      <c r="Z109" s="70"/>
    </row>
    <row r="110" spans="1:27" ht="22.8" x14ac:dyDescent="0.25">
      <c r="A110" s="7" t="s">
        <v>451</v>
      </c>
      <c r="B110" s="23" t="s">
        <v>452</v>
      </c>
      <c r="C110" s="28" t="s">
        <v>453</v>
      </c>
      <c r="D110" s="29" t="s">
        <v>454</v>
      </c>
      <c r="E110" s="49" t="s">
        <v>455</v>
      </c>
      <c r="F110" s="82"/>
      <c r="G110" s="77"/>
      <c r="H110" s="53"/>
      <c r="I110" s="75"/>
      <c r="J110" s="53"/>
      <c r="K110" s="53"/>
      <c r="L110" s="64"/>
      <c r="M110" s="53"/>
      <c r="N110" s="53"/>
      <c r="O110" s="53"/>
      <c r="P110" s="53" t="s">
        <v>41</v>
      </c>
      <c r="Q110" s="69"/>
      <c r="R110" s="53"/>
      <c r="S110" s="69" t="s">
        <v>37</v>
      </c>
      <c r="T110" s="53"/>
      <c r="U110" s="69"/>
      <c r="V110" s="53"/>
      <c r="W110" s="53" t="s">
        <v>67</v>
      </c>
      <c r="X110" s="70"/>
      <c r="Y110" s="53" t="s">
        <v>67</v>
      </c>
      <c r="Z110" s="70"/>
    </row>
    <row r="111" spans="1:27" ht="34.200000000000003" x14ac:dyDescent="0.25">
      <c r="A111" s="7" t="s">
        <v>456</v>
      </c>
      <c r="B111" s="23" t="s">
        <v>457</v>
      </c>
      <c r="C111" s="28" t="s">
        <v>458</v>
      </c>
      <c r="D111" s="29" t="s">
        <v>459</v>
      </c>
      <c r="E111" s="49" t="s">
        <v>460</v>
      </c>
      <c r="F111" s="82"/>
      <c r="G111" s="75"/>
      <c r="H111" s="53"/>
      <c r="I111" s="75"/>
      <c r="J111" s="53"/>
      <c r="K111" s="53"/>
      <c r="L111" s="64"/>
      <c r="M111" s="53"/>
      <c r="N111" s="53"/>
      <c r="O111" s="53"/>
      <c r="P111" s="53" t="s">
        <v>41</v>
      </c>
      <c r="Q111" s="69"/>
      <c r="R111" s="53"/>
      <c r="S111" s="69" t="s">
        <v>37</v>
      </c>
      <c r="T111" s="53"/>
      <c r="U111" s="69"/>
      <c r="V111" s="53"/>
      <c r="W111" s="53"/>
      <c r="X111" s="70"/>
      <c r="Y111" s="53"/>
      <c r="Z111" s="70"/>
    </row>
    <row r="112" spans="1:27" ht="22.8" x14ac:dyDescent="0.25">
      <c r="A112" s="7" t="s">
        <v>461</v>
      </c>
      <c r="B112" s="23" t="s">
        <v>462</v>
      </c>
      <c r="C112" s="28" t="s">
        <v>463</v>
      </c>
      <c r="D112" s="29" t="s">
        <v>464</v>
      </c>
      <c r="E112" s="49" t="s">
        <v>465</v>
      </c>
      <c r="F112" s="82"/>
      <c r="G112" s="74"/>
      <c r="H112" s="53"/>
      <c r="I112" s="75"/>
      <c r="J112" s="53"/>
      <c r="K112" s="53"/>
      <c r="L112" s="64"/>
      <c r="M112" s="53"/>
      <c r="N112" s="53"/>
      <c r="O112" s="53"/>
      <c r="P112" s="53" t="s">
        <v>41</v>
      </c>
      <c r="Q112" s="69"/>
      <c r="R112" s="53"/>
      <c r="S112" s="69" t="s">
        <v>37</v>
      </c>
      <c r="T112" s="53"/>
      <c r="U112" s="69"/>
      <c r="V112" s="53"/>
      <c r="W112" s="53" t="s">
        <v>67</v>
      </c>
      <c r="X112" s="70"/>
      <c r="Y112" s="53" t="s">
        <v>67</v>
      </c>
      <c r="Z112" s="70"/>
    </row>
    <row r="113" spans="1:26" ht="34.200000000000003" x14ac:dyDescent="0.25">
      <c r="A113" s="7" t="s">
        <v>466</v>
      </c>
      <c r="B113" s="23" t="s">
        <v>467</v>
      </c>
      <c r="C113" s="28" t="s">
        <v>468</v>
      </c>
      <c r="D113" s="29" t="s">
        <v>469</v>
      </c>
      <c r="E113" s="49" t="s">
        <v>470</v>
      </c>
      <c r="F113" s="82"/>
      <c r="G113" s="77"/>
      <c r="H113" s="53"/>
      <c r="I113" s="75"/>
      <c r="J113" s="53"/>
      <c r="K113" s="53"/>
      <c r="L113" s="64"/>
      <c r="M113" s="53"/>
      <c r="N113" s="53"/>
      <c r="O113" s="53"/>
      <c r="P113" s="53" t="s">
        <v>41</v>
      </c>
      <c r="Q113" s="69"/>
      <c r="R113" s="53"/>
      <c r="S113" s="69" t="s">
        <v>37</v>
      </c>
      <c r="T113" s="53"/>
      <c r="U113" s="69"/>
      <c r="V113" s="53"/>
      <c r="W113" s="53" t="s">
        <v>67</v>
      </c>
      <c r="X113" s="70"/>
      <c r="Y113" s="53" t="s">
        <v>67</v>
      </c>
      <c r="Z113" s="70"/>
    </row>
    <row r="114" spans="1:26" ht="68.400000000000006" x14ac:dyDescent="0.25">
      <c r="A114" s="7" t="s">
        <v>471</v>
      </c>
      <c r="B114" s="23" t="s">
        <v>472</v>
      </c>
      <c r="C114" s="28" t="s">
        <v>473</v>
      </c>
      <c r="D114" s="29" t="s">
        <v>474</v>
      </c>
      <c r="E114" s="49" t="s">
        <v>475</v>
      </c>
      <c r="F114" s="82"/>
      <c r="G114" s="75"/>
      <c r="H114" s="53"/>
      <c r="I114" s="75"/>
      <c r="J114" s="53"/>
      <c r="K114" s="53"/>
      <c r="L114" s="64"/>
      <c r="M114" s="53"/>
      <c r="N114" s="53"/>
      <c r="O114" s="53"/>
      <c r="P114" s="53" t="s">
        <v>41</v>
      </c>
      <c r="Q114" s="69"/>
      <c r="R114" s="53"/>
      <c r="S114" s="69" t="s">
        <v>37</v>
      </c>
      <c r="T114" s="53"/>
      <c r="U114" s="69"/>
      <c r="V114" s="53"/>
      <c r="W114" s="53"/>
      <c r="X114" s="70"/>
      <c r="Y114" s="53"/>
      <c r="Z114" s="70"/>
    </row>
    <row r="115" spans="1:26" ht="24" x14ac:dyDescent="0.25">
      <c r="A115" s="9" t="s">
        <v>476</v>
      </c>
      <c r="B115" s="24" t="s">
        <v>477</v>
      </c>
      <c r="C115" s="35" t="s">
        <v>478</v>
      </c>
      <c r="D115" s="36" t="s">
        <v>479</v>
      </c>
      <c r="E115" s="48" t="s">
        <v>480</v>
      </c>
      <c r="F115" s="82"/>
      <c r="G115" s="75"/>
      <c r="H115" s="53"/>
      <c r="I115" s="74"/>
      <c r="J115" s="53"/>
      <c r="K115" s="53"/>
      <c r="L115" s="63"/>
      <c r="M115" s="53"/>
      <c r="N115" s="53"/>
      <c r="O115" s="53"/>
      <c r="P115" s="53"/>
      <c r="Q115" s="63"/>
      <c r="R115" s="53"/>
      <c r="S115" s="63" t="s">
        <v>37</v>
      </c>
      <c r="T115" s="53"/>
      <c r="U115" s="63"/>
      <c r="V115" s="53"/>
      <c r="W115" s="53" t="s">
        <v>101</v>
      </c>
      <c r="X115" s="63" t="s">
        <v>37</v>
      </c>
      <c r="Y115" s="53" t="s">
        <v>101</v>
      </c>
      <c r="Z115" s="63" t="s">
        <v>67</v>
      </c>
    </row>
    <row r="116" spans="1:26" ht="45.6" x14ac:dyDescent="0.25">
      <c r="A116" s="7" t="s">
        <v>481</v>
      </c>
      <c r="B116" s="23" t="s">
        <v>482</v>
      </c>
      <c r="C116" s="28" t="s">
        <v>483</v>
      </c>
      <c r="D116" s="29" t="s">
        <v>484</v>
      </c>
      <c r="E116" s="49" t="s">
        <v>164</v>
      </c>
      <c r="F116" s="82"/>
      <c r="G116" s="75"/>
      <c r="H116" s="53"/>
      <c r="I116" s="77"/>
      <c r="J116" s="53"/>
      <c r="K116" s="53"/>
      <c r="L116" s="66"/>
      <c r="M116" s="53"/>
      <c r="N116" s="53"/>
      <c r="O116" s="53"/>
      <c r="P116" s="53" t="s">
        <v>41</v>
      </c>
      <c r="Q116" s="69"/>
      <c r="R116" s="53"/>
      <c r="S116" s="69" t="s">
        <v>37</v>
      </c>
      <c r="T116" s="53"/>
      <c r="U116" s="69"/>
      <c r="V116" s="53"/>
      <c r="W116" s="53" t="s">
        <v>101</v>
      </c>
      <c r="X116" s="70"/>
      <c r="Y116" s="53" t="s">
        <v>101</v>
      </c>
      <c r="Z116" s="70"/>
    </row>
    <row r="117" spans="1:26" ht="34.200000000000003" x14ac:dyDescent="0.25">
      <c r="A117" s="7" t="s">
        <v>485</v>
      </c>
      <c r="B117" s="23" t="s">
        <v>486</v>
      </c>
      <c r="C117" s="28" t="s">
        <v>487</v>
      </c>
      <c r="D117" s="29" t="s">
        <v>488</v>
      </c>
      <c r="E117" s="49" t="s">
        <v>480</v>
      </c>
      <c r="F117" s="82"/>
      <c r="G117" s="74"/>
      <c r="H117" s="53"/>
      <c r="I117" s="75"/>
      <c r="J117" s="53"/>
      <c r="K117" s="53"/>
      <c r="L117" s="64"/>
      <c r="M117" s="53"/>
      <c r="N117" s="53"/>
      <c r="O117" s="53"/>
      <c r="P117" s="53" t="s">
        <v>101</v>
      </c>
      <c r="Q117" s="69"/>
      <c r="R117" s="53"/>
      <c r="S117" s="69" t="s">
        <v>101</v>
      </c>
      <c r="T117" s="53"/>
      <c r="U117" s="69"/>
      <c r="V117" s="53"/>
      <c r="W117" s="53" t="s">
        <v>101</v>
      </c>
      <c r="X117" s="70" t="s">
        <v>37</v>
      </c>
      <c r="Y117" s="53" t="s">
        <v>101</v>
      </c>
      <c r="Z117" s="70" t="s">
        <v>67</v>
      </c>
    </row>
    <row r="118" spans="1:26" ht="24" x14ac:dyDescent="0.25">
      <c r="A118" s="9" t="s">
        <v>489</v>
      </c>
      <c r="B118" s="24" t="s">
        <v>490</v>
      </c>
      <c r="C118" s="35" t="s">
        <v>491</v>
      </c>
      <c r="D118" s="36" t="s">
        <v>492</v>
      </c>
      <c r="E118" s="48" t="s">
        <v>493</v>
      </c>
      <c r="F118" s="82"/>
      <c r="G118" s="75"/>
      <c r="H118" s="53"/>
      <c r="I118" s="74"/>
      <c r="J118" s="53"/>
      <c r="K118" s="53"/>
      <c r="L118" s="63"/>
      <c r="M118" s="53"/>
      <c r="N118" s="53"/>
      <c r="O118" s="53"/>
      <c r="P118" s="53"/>
      <c r="Q118" s="63"/>
      <c r="R118" s="53"/>
      <c r="S118" s="63" t="s">
        <v>37</v>
      </c>
      <c r="T118" s="53"/>
      <c r="U118" s="63"/>
      <c r="V118" s="53"/>
      <c r="W118" s="53" t="s">
        <v>101</v>
      </c>
      <c r="X118" s="63" t="s">
        <v>101</v>
      </c>
      <c r="Y118" s="53" t="s">
        <v>101</v>
      </c>
      <c r="Z118" s="63"/>
    </row>
    <row r="119" spans="1:26" ht="45.6" x14ac:dyDescent="0.25">
      <c r="A119" s="7" t="s">
        <v>494</v>
      </c>
      <c r="B119" s="23" t="s">
        <v>495</v>
      </c>
      <c r="C119" s="28" t="s">
        <v>496</v>
      </c>
      <c r="D119" s="29" t="s">
        <v>497</v>
      </c>
      <c r="E119" s="49" t="s">
        <v>493</v>
      </c>
      <c r="F119" s="82"/>
      <c r="G119" s="75"/>
      <c r="H119" s="53"/>
      <c r="I119" s="77"/>
      <c r="J119" s="53"/>
      <c r="K119" s="53"/>
      <c r="L119" s="66"/>
      <c r="M119" s="53"/>
      <c r="N119" s="53"/>
      <c r="O119" s="53"/>
      <c r="P119" s="53" t="s">
        <v>41</v>
      </c>
      <c r="Q119" s="69"/>
      <c r="R119" s="53"/>
      <c r="S119" s="69" t="s">
        <v>37</v>
      </c>
      <c r="T119" s="53"/>
      <c r="U119" s="69"/>
      <c r="V119" s="53"/>
      <c r="W119" s="53" t="s">
        <v>101</v>
      </c>
      <c r="X119" s="70" t="s">
        <v>101</v>
      </c>
      <c r="Y119" s="53" t="s">
        <v>101</v>
      </c>
      <c r="Z119" s="70"/>
    </row>
    <row r="120" spans="1:26" ht="22.8" x14ac:dyDescent="0.25">
      <c r="A120" s="7" t="s">
        <v>498</v>
      </c>
      <c r="B120" s="23" t="s">
        <v>499</v>
      </c>
      <c r="C120" s="28" t="s">
        <v>500</v>
      </c>
      <c r="D120" s="29" t="s">
        <v>501</v>
      </c>
      <c r="E120" s="49" t="s">
        <v>493</v>
      </c>
      <c r="F120" s="82"/>
      <c r="G120" s="74"/>
      <c r="H120" s="53"/>
      <c r="I120" s="75"/>
      <c r="J120" s="53"/>
      <c r="K120" s="53"/>
      <c r="L120" s="64"/>
      <c r="M120" s="53"/>
      <c r="N120" s="53"/>
      <c r="O120" s="53"/>
      <c r="P120" s="53" t="s">
        <v>41</v>
      </c>
      <c r="Q120" s="69"/>
      <c r="R120" s="53"/>
      <c r="S120" s="69" t="s">
        <v>37</v>
      </c>
      <c r="T120" s="53"/>
      <c r="U120" s="69"/>
      <c r="V120" s="53"/>
      <c r="W120" s="53" t="s">
        <v>101</v>
      </c>
      <c r="X120" s="70" t="s">
        <v>101</v>
      </c>
      <c r="Y120" s="53" t="s">
        <v>101</v>
      </c>
      <c r="Z120" s="70"/>
    </row>
    <row r="121" spans="1:26" ht="22.8" x14ac:dyDescent="0.25">
      <c r="A121" s="7" t="s">
        <v>502</v>
      </c>
      <c r="B121" s="23" t="s">
        <v>503</v>
      </c>
      <c r="C121" s="28" t="s">
        <v>504</v>
      </c>
      <c r="D121" s="29" t="s">
        <v>505</v>
      </c>
      <c r="E121" s="49" t="s">
        <v>493</v>
      </c>
      <c r="F121" s="82"/>
      <c r="G121" s="77"/>
      <c r="H121" s="53"/>
      <c r="I121" s="75"/>
      <c r="J121" s="53"/>
      <c r="K121" s="53"/>
      <c r="L121" s="64"/>
      <c r="M121" s="53"/>
      <c r="N121" s="53"/>
      <c r="O121" s="53"/>
      <c r="P121" s="53" t="s">
        <v>41</v>
      </c>
      <c r="Q121" s="69"/>
      <c r="R121" s="53"/>
      <c r="S121" s="69" t="s">
        <v>37</v>
      </c>
      <c r="T121" s="53"/>
      <c r="U121" s="69"/>
      <c r="V121" s="53"/>
      <c r="W121" s="53"/>
      <c r="X121" s="70" t="s">
        <v>101</v>
      </c>
      <c r="Y121" s="53"/>
      <c r="Z121" s="70"/>
    </row>
    <row r="122" spans="1:26" ht="45.6" x14ac:dyDescent="0.25">
      <c r="A122" s="7" t="s">
        <v>506</v>
      </c>
      <c r="B122" s="23" t="s">
        <v>507</v>
      </c>
      <c r="C122" s="28" t="s">
        <v>508</v>
      </c>
      <c r="D122" s="29" t="s">
        <v>509</v>
      </c>
      <c r="E122" s="49" t="s">
        <v>493</v>
      </c>
      <c r="F122" s="82"/>
      <c r="G122" s="77"/>
      <c r="H122" s="53" t="s">
        <v>101</v>
      </c>
      <c r="I122" s="75" t="s">
        <v>101</v>
      </c>
      <c r="J122" s="53"/>
      <c r="K122" s="53"/>
      <c r="L122" s="64"/>
      <c r="M122" s="53"/>
      <c r="N122" s="53"/>
      <c r="O122" s="53"/>
      <c r="P122" s="53" t="s">
        <v>41</v>
      </c>
      <c r="Q122" s="69"/>
      <c r="R122" s="53"/>
      <c r="S122" s="69" t="s">
        <v>37</v>
      </c>
      <c r="T122" s="53"/>
      <c r="U122" s="69"/>
      <c r="V122" s="53"/>
      <c r="W122" s="53"/>
      <c r="X122" s="70" t="s">
        <v>101</v>
      </c>
      <c r="Y122" s="53"/>
      <c r="Z122" s="70"/>
    </row>
    <row r="123" spans="1:26" ht="22.8" x14ac:dyDescent="0.25">
      <c r="A123" s="9" t="s">
        <v>510</v>
      </c>
      <c r="B123" s="24" t="s">
        <v>511</v>
      </c>
      <c r="C123" s="35" t="s">
        <v>512</v>
      </c>
      <c r="D123" s="36" t="s">
        <v>512</v>
      </c>
      <c r="E123" s="48" t="s">
        <v>513</v>
      </c>
      <c r="F123" s="82"/>
      <c r="G123" s="77"/>
      <c r="H123" s="53"/>
      <c r="I123" s="74" t="s">
        <v>37</v>
      </c>
      <c r="J123" s="53"/>
      <c r="K123" s="53"/>
      <c r="L123" s="63"/>
      <c r="M123" s="53"/>
      <c r="N123" s="53"/>
      <c r="O123" s="53"/>
      <c r="P123" s="53"/>
      <c r="Q123" s="63"/>
      <c r="R123" s="53"/>
      <c r="S123" s="63" t="s">
        <v>101</v>
      </c>
      <c r="T123" s="53"/>
      <c r="U123" s="63"/>
      <c r="V123" s="53"/>
      <c r="W123" s="53" t="s">
        <v>41</v>
      </c>
      <c r="X123" s="63" t="s">
        <v>101</v>
      </c>
      <c r="Y123" s="53" t="s">
        <v>41</v>
      </c>
      <c r="Z123" s="63"/>
    </row>
    <row r="124" spans="1:26" ht="91.2" x14ac:dyDescent="0.25">
      <c r="A124" s="7" t="s">
        <v>514</v>
      </c>
      <c r="B124" s="23" t="s">
        <v>515</v>
      </c>
      <c r="C124" s="28" t="s">
        <v>516</v>
      </c>
      <c r="D124" s="29" t="s">
        <v>517</v>
      </c>
      <c r="E124" s="49" t="s">
        <v>164</v>
      </c>
      <c r="F124" s="82"/>
      <c r="G124" s="77"/>
      <c r="H124" s="53" t="s">
        <v>41</v>
      </c>
      <c r="I124" s="75" t="s">
        <v>37</v>
      </c>
      <c r="J124" s="53"/>
      <c r="K124" s="53"/>
      <c r="L124" s="64"/>
      <c r="M124" s="53"/>
      <c r="N124" s="53"/>
      <c r="O124" s="53"/>
      <c r="P124" s="53" t="s">
        <v>101</v>
      </c>
      <c r="Q124" s="69"/>
      <c r="R124" s="53"/>
      <c r="S124" s="69" t="s">
        <v>101</v>
      </c>
      <c r="T124" s="53"/>
      <c r="U124" s="69"/>
      <c r="V124" s="53"/>
      <c r="W124" s="53"/>
      <c r="X124" s="70" t="s">
        <v>101</v>
      </c>
      <c r="Y124" s="53"/>
      <c r="Z124" s="70"/>
    </row>
    <row r="125" spans="1:26" ht="102.6" x14ac:dyDescent="0.25">
      <c r="A125" s="7" t="s">
        <v>518</v>
      </c>
      <c r="B125" s="23" t="s">
        <v>519</v>
      </c>
      <c r="C125" s="28" t="s">
        <v>520</v>
      </c>
      <c r="D125" s="29" t="s">
        <v>521</v>
      </c>
      <c r="E125" s="49" t="s">
        <v>164</v>
      </c>
      <c r="F125" s="82"/>
      <c r="G125" s="77"/>
      <c r="H125" s="53" t="s">
        <v>41</v>
      </c>
      <c r="I125" s="75" t="s">
        <v>37</v>
      </c>
      <c r="J125" s="53"/>
      <c r="K125" s="53"/>
      <c r="L125" s="64"/>
      <c r="M125" s="53"/>
      <c r="N125" s="53"/>
      <c r="O125" s="53"/>
      <c r="P125" s="53" t="s">
        <v>101</v>
      </c>
      <c r="Q125" s="69"/>
      <c r="R125" s="53"/>
      <c r="S125" s="69" t="s">
        <v>101</v>
      </c>
      <c r="T125" s="53"/>
      <c r="U125" s="69"/>
      <c r="V125" s="53"/>
      <c r="W125" s="53" t="s">
        <v>101</v>
      </c>
      <c r="X125" s="70" t="s">
        <v>101</v>
      </c>
      <c r="Y125" s="53" t="s">
        <v>101</v>
      </c>
      <c r="Z125" s="70"/>
    </row>
    <row r="126" spans="1:26" ht="24" x14ac:dyDescent="0.25">
      <c r="A126" s="9" t="s">
        <v>522</v>
      </c>
      <c r="B126" s="24" t="s">
        <v>511</v>
      </c>
      <c r="C126" s="35" t="s">
        <v>511</v>
      </c>
      <c r="D126" s="36" t="s">
        <v>523</v>
      </c>
      <c r="E126" s="48" t="s">
        <v>524</v>
      </c>
      <c r="F126" s="82"/>
      <c r="G126" s="77"/>
      <c r="H126" s="53"/>
      <c r="I126" s="74" t="s">
        <v>37</v>
      </c>
      <c r="J126" s="53"/>
      <c r="K126" s="53"/>
      <c r="L126" s="63"/>
      <c r="M126" s="53"/>
      <c r="N126" s="53"/>
      <c r="O126" s="53"/>
      <c r="P126" s="53"/>
      <c r="Q126" s="63"/>
      <c r="R126" s="53"/>
      <c r="S126" s="63" t="s">
        <v>101</v>
      </c>
      <c r="T126" s="53"/>
      <c r="U126" s="63"/>
      <c r="V126" s="53"/>
      <c r="W126" s="53" t="s">
        <v>101</v>
      </c>
      <c r="X126" s="63"/>
      <c r="Y126" s="53" t="s">
        <v>101</v>
      </c>
      <c r="Z126" s="63"/>
    </row>
    <row r="127" spans="1:26" ht="22.8" x14ac:dyDescent="0.25">
      <c r="A127" s="7" t="s">
        <v>525</v>
      </c>
      <c r="B127" s="23" t="s">
        <v>511</v>
      </c>
      <c r="C127" s="28" t="s">
        <v>511</v>
      </c>
      <c r="D127" s="29" t="s">
        <v>526</v>
      </c>
      <c r="E127" s="49" t="s">
        <v>524</v>
      </c>
      <c r="F127" s="82"/>
      <c r="G127" s="77"/>
      <c r="H127" s="53" t="s">
        <v>41</v>
      </c>
      <c r="I127" s="77" t="s">
        <v>37</v>
      </c>
      <c r="J127" s="53"/>
      <c r="K127" s="53"/>
      <c r="L127" s="66"/>
      <c r="M127" s="53"/>
      <c r="N127" s="53"/>
      <c r="O127" s="53"/>
      <c r="P127" s="53" t="s">
        <v>101</v>
      </c>
      <c r="Q127" s="69"/>
      <c r="R127" s="53"/>
      <c r="S127" s="69" t="s">
        <v>101</v>
      </c>
      <c r="T127" s="53"/>
      <c r="U127" s="69"/>
      <c r="V127" s="53"/>
      <c r="W127" s="53" t="s">
        <v>101</v>
      </c>
      <c r="X127" s="70"/>
      <c r="Y127" s="53" t="s">
        <v>101</v>
      </c>
      <c r="Z127" s="70"/>
    </row>
    <row r="128" spans="1:26" ht="34.200000000000003" x14ac:dyDescent="0.25">
      <c r="A128" s="7" t="s">
        <v>527</v>
      </c>
      <c r="B128" s="23" t="s">
        <v>528</v>
      </c>
      <c r="C128" s="28" t="s">
        <v>529</v>
      </c>
      <c r="D128" s="29" t="s">
        <v>530</v>
      </c>
      <c r="E128" s="49" t="s">
        <v>524</v>
      </c>
      <c r="F128" s="82"/>
      <c r="G128" s="77"/>
      <c r="H128" s="53" t="s">
        <v>41</v>
      </c>
      <c r="I128" s="77" t="s">
        <v>37</v>
      </c>
      <c r="J128" s="53"/>
      <c r="K128" s="53"/>
      <c r="L128" s="66"/>
      <c r="M128" s="53"/>
      <c r="N128" s="53"/>
      <c r="O128" s="53"/>
      <c r="P128" s="53" t="s">
        <v>101</v>
      </c>
      <c r="Q128" s="69"/>
      <c r="R128" s="53"/>
      <c r="S128" s="69" t="s">
        <v>101</v>
      </c>
      <c r="T128" s="53"/>
      <c r="U128" s="69"/>
      <c r="V128" s="53"/>
      <c r="W128" s="53" t="s">
        <v>67</v>
      </c>
      <c r="X128" s="70"/>
      <c r="Y128" s="53" t="s">
        <v>67</v>
      </c>
      <c r="Z128" s="70"/>
    </row>
    <row r="129" spans="1:26" ht="34.200000000000003" x14ac:dyDescent="0.25">
      <c r="A129" s="7" t="s">
        <v>531</v>
      </c>
      <c r="B129" s="23" t="s">
        <v>532</v>
      </c>
      <c r="C129" s="28" t="s">
        <v>533</v>
      </c>
      <c r="D129" s="29" t="s">
        <v>534</v>
      </c>
      <c r="E129" s="49" t="s">
        <v>524</v>
      </c>
      <c r="F129" s="82"/>
      <c r="G129" s="74"/>
      <c r="H129" s="53" t="s">
        <v>41</v>
      </c>
      <c r="I129" s="77" t="s">
        <v>37</v>
      </c>
      <c r="J129" s="53"/>
      <c r="K129" s="53"/>
      <c r="L129" s="66"/>
      <c r="M129" s="53"/>
      <c r="N129" s="53"/>
      <c r="O129" s="53"/>
      <c r="P129" s="53" t="s">
        <v>101</v>
      </c>
      <c r="Q129" s="69"/>
      <c r="R129" s="53"/>
      <c r="S129" s="69" t="s">
        <v>101</v>
      </c>
      <c r="T129" s="53"/>
      <c r="U129" s="69"/>
      <c r="V129" s="53"/>
      <c r="W129" s="53"/>
      <c r="X129" s="70"/>
      <c r="Y129" s="53"/>
      <c r="Z129" s="70"/>
    </row>
    <row r="130" spans="1:26" ht="45.6" x14ac:dyDescent="0.25">
      <c r="A130" s="7" t="s">
        <v>535</v>
      </c>
      <c r="B130" s="23" t="s">
        <v>536</v>
      </c>
      <c r="C130" s="28" t="s">
        <v>537</v>
      </c>
      <c r="D130" s="29" t="s">
        <v>538</v>
      </c>
      <c r="E130" s="49" t="s">
        <v>524</v>
      </c>
      <c r="F130" s="82"/>
      <c r="G130" s="77"/>
      <c r="H130" s="53" t="s">
        <v>41</v>
      </c>
      <c r="I130" s="77" t="s">
        <v>37</v>
      </c>
      <c r="J130" s="53"/>
      <c r="K130" s="53"/>
      <c r="L130" s="66"/>
      <c r="M130" s="53"/>
      <c r="N130" s="53"/>
      <c r="O130" s="53"/>
      <c r="P130" s="53" t="s">
        <v>101</v>
      </c>
      <c r="Q130" s="69"/>
      <c r="R130" s="53"/>
      <c r="S130" s="69" t="s">
        <v>101</v>
      </c>
      <c r="T130" s="53"/>
      <c r="U130" s="69"/>
      <c r="V130" s="53"/>
      <c r="W130" s="53" t="s">
        <v>101</v>
      </c>
      <c r="X130" s="70"/>
      <c r="Y130" s="53" t="s">
        <v>101</v>
      </c>
      <c r="Z130" s="70"/>
    </row>
    <row r="131" spans="1:26" ht="22.8" x14ac:dyDescent="0.25">
      <c r="A131" s="7" t="s">
        <v>539</v>
      </c>
      <c r="B131" s="23" t="s">
        <v>540</v>
      </c>
      <c r="C131" s="28" t="s">
        <v>541</v>
      </c>
      <c r="D131" s="29" t="s">
        <v>542</v>
      </c>
      <c r="E131" s="49" t="s">
        <v>524</v>
      </c>
      <c r="F131" s="82"/>
      <c r="G131" s="77"/>
      <c r="H131" s="53" t="s">
        <v>41</v>
      </c>
      <c r="I131" s="77" t="s">
        <v>37</v>
      </c>
      <c r="J131" s="53"/>
      <c r="K131" s="53"/>
      <c r="L131" s="66"/>
      <c r="M131" s="53"/>
      <c r="N131" s="53"/>
      <c r="O131" s="53"/>
      <c r="P131" s="53" t="s">
        <v>101</v>
      </c>
      <c r="Q131" s="69"/>
      <c r="R131" s="53"/>
      <c r="S131" s="69" t="s">
        <v>101</v>
      </c>
      <c r="T131" s="53"/>
      <c r="U131" s="69"/>
      <c r="V131" s="53"/>
      <c r="W131" s="53" t="s">
        <v>101</v>
      </c>
      <c r="X131" s="70"/>
      <c r="Y131" s="53" t="s">
        <v>101</v>
      </c>
      <c r="Z131" s="70"/>
    </row>
    <row r="132" spans="1:26" ht="34.200000000000003" x14ac:dyDescent="0.25">
      <c r="A132" s="7" t="s">
        <v>543</v>
      </c>
      <c r="B132" s="23" t="s">
        <v>544</v>
      </c>
      <c r="C132" s="28" t="s">
        <v>545</v>
      </c>
      <c r="D132" s="29" t="s">
        <v>546</v>
      </c>
      <c r="E132" s="49" t="s">
        <v>524</v>
      </c>
      <c r="F132" s="82"/>
      <c r="G132" s="77"/>
      <c r="H132" s="53" t="s">
        <v>41</v>
      </c>
      <c r="I132" s="77" t="s">
        <v>37</v>
      </c>
      <c r="J132" s="53"/>
      <c r="K132" s="53"/>
      <c r="L132" s="66"/>
      <c r="M132" s="53"/>
      <c r="N132" s="53"/>
      <c r="O132" s="53"/>
      <c r="P132" s="53" t="s">
        <v>101</v>
      </c>
      <c r="Q132" s="69"/>
      <c r="R132" s="53"/>
      <c r="S132" s="69" t="s">
        <v>101</v>
      </c>
      <c r="T132" s="53"/>
      <c r="U132" s="69"/>
      <c r="V132" s="53"/>
      <c r="W132" s="53"/>
      <c r="X132" s="70"/>
      <c r="Y132" s="53"/>
      <c r="Z132" s="70"/>
    </row>
    <row r="133" spans="1:26" ht="22.8" x14ac:dyDescent="0.25">
      <c r="A133" s="7" t="s">
        <v>547</v>
      </c>
      <c r="B133" s="23" t="s">
        <v>548</v>
      </c>
      <c r="C133" s="28" t="s">
        <v>549</v>
      </c>
      <c r="D133" s="29" t="s">
        <v>550</v>
      </c>
      <c r="E133" s="49" t="s">
        <v>164</v>
      </c>
      <c r="F133" s="82"/>
      <c r="G133" s="77"/>
      <c r="H133" s="53" t="s">
        <v>41</v>
      </c>
      <c r="I133" s="77" t="s">
        <v>37</v>
      </c>
      <c r="J133" s="53"/>
      <c r="K133" s="53"/>
      <c r="L133" s="66"/>
      <c r="M133" s="53"/>
      <c r="N133" s="53"/>
      <c r="O133" s="53"/>
      <c r="P133" s="53" t="s">
        <v>101</v>
      </c>
      <c r="Q133" s="69"/>
      <c r="R133" s="53"/>
      <c r="S133" s="69" t="s">
        <v>101</v>
      </c>
      <c r="T133" s="53"/>
      <c r="U133" s="69"/>
      <c r="V133" s="53"/>
      <c r="W133" s="53"/>
      <c r="X133" s="70"/>
      <c r="Y133" s="53"/>
      <c r="Z133" s="70"/>
    </row>
    <row r="134" spans="1:26" ht="34.200000000000003" x14ac:dyDescent="0.25">
      <c r="A134" s="7" t="s">
        <v>551</v>
      </c>
      <c r="B134" s="23" t="s">
        <v>552</v>
      </c>
      <c r="C134" s="28" t="s">
        <v>553</v>
      </c>
      <c r="D134" s="29" t="s">
        <v>554</v>
      </c>
      <c r="E134" s="49" t="s">
        <v>164</v>
      </c>
      <c r="F134" s="82"/>
      <c r="G134" s="77"/>
      <c r="H134" s="53" t="s">
        <v>41</v>
      </c>
      <c r="I134" s="77" t="s">
        <v>37</v>
      </c>
      <c r="J134" s="53"/>
      <c r="K134" s="53"/>
      <c r="L134" s="66"/>
      <c r="M134" s="53"/>
      <c r="N134" s="53"/>
      <c r="O134" s="53"/>
      <c r="P134" s="53" t="s">
        <v>101</v>
      </c>
      <c r="Q134" s="69"/>
      <c r="R134" s="53"/>
      <c r="S134" s="69" t="s">
        <v>101</v>
      </c>
      <c r="T134" s="53"/>
      <c r="U134" s="69"/>
      <c r="V134" s="53"/>
      <c r="W134" s="53"/>
      <c r="X134" s="70"/>
      <c r="Y134" s="53"/>
      <c r="Z134" s="70"/>
    </row>
    <row r="135" spans="1:26" ht="24" x14ac:dyDescent="0.25">
      <c r="A135" s="9" t="s">
        <v>555</v>
      </c>
      <c r="B135" s="24" t="s">
        <v>556</v>
      </c>
      <c r="C135" s="35" t="s">
        <v>557</v>
      </c>
      <c r="D135" s="36" t="s">
        <v>558</v>
      </c>
      <c r="E135" s="48" t="s">
        <v>559</v>
      </c>
      <c r="F135" s="82"/>
      <c r="G135" s="77"/>
      <c r="H135" s="53"/>
      <c r="I135" s="74"/>
      <c r="J135" s="53"/>
      <c r="K135" s="53"/>
      <c r="L135" s="63"/>
      <c r="M135" s="53"/>
      <c r="N135" s="53"/>
      <c r="O135" s="53"/>
      <c r="P135" s="53"/>
      <c r="Q135" s="63"/>
      <c r="R135" s="53"/>
      <c r="S135" s="63" t="s">
        <v>37</v>
      </c>
      <c r="T135" s="53"/>
      <c r="U135" s="63"/>
      <c r="V135" s="53"/>
      <c r="W135" s="53"/>
      <c r="X135" s="63" t="s">
        <v>101</v>
      </c>
      <c r="Y135" s="53"/>
      <c r="Z135" s="63"/>
    </row>
    <row r="136" spans="1:26" ht="34.200000000000003" x14ac:dyDescent="0.25">
      <c r="A136" s="7" t="s">
        <v>560</v>
      </c>
      <c r="B136" s="23" t="s">
        <v>561</v>
      </c>
      <c r="C136" s="28" t="s">
        <v>562</v>
      </c>
      <c r="D136" s="29" t="s">
        <v>563</v>
      </c>
      <c r="E136" s="49" t="s">
        <v>559</v>
      </c>
      <c r="F136" s="82"/>
      <c r="G136" s="77"/>
      <c r="H136" s="53"/>
      <c r="I136" s="77"/>
      <c r="J136" s="53"/>
      <c r="K136" s="53"/>
      <c r="L136" s="66"/>
      <c r="M136" s="53"/>
      <c r="N136" s="53"/>
      <c r="O136" s="53"/>
      <c r="P136" s="53" t="s">
        <v>41</v>
      </c>
      <c r="Q136" s="69"/>
      <c r="R136" s="53"/>
      <c r="S136" s="69" t="s">
        <v>37</v>
      </c>
      <c r="T136" s="53"/>
      <c r="U136" s="69"/>
      <c r="V136" s="53"/>
      <c r="W136" s="53"/>
      <c r="X136" s="70" t="s">
        <v>101</v>
      </c>
      <c r="Y136" s="53"/>
      <c r="Z136" s="70"/>
    </row>
    <row r="137" spans="1:26" ht="34.200000000000003" x14ac:dyDescent="0.25">
      <c r="A137" s="7" t="s">
        <v>564</v>
      </c>
      <c r="B137" s="23" t="s">
        <v>565</v>
      </c>
      <c r="C137" s="28" t="s">
        <v>566</v>
      </c>
      <c r="D137" s="29" t="s">
        <v>567</v>
      </c>
      <c r="E137" s="49" t="s">
        <v>559</v>
      </c>
      <c r="F137" s="82"/>
      <c r="G137" s="77"/>
      <c r="H137" s="53"/>
      <c r="I137" s="77"/>
      <c r="J137" s="53"/>
      <c r="K137" s="53"/>
      <c r="L137" s="66"/>
      <c r="M137" s="53"/>
      <c r="N137" s="53"/>
      <c r="O137" s="53"/>
      <c r="P137" s="53" t="s">
        <v>41</v>
      </c>
      <c r="Q137" s="69"/>
      <c r="R137" s="53"/>
      <c r="S137" s="69" t="s">
        <v>37</v>
      </c>
      <c r="T137" s="53"/>
      <c r="U137" s="69"/>
      <c r="V137" s="53"/>
      <c r="W137" s="53"/>
      <c r="X137" s="70" t="s">
        <v>101</v>
      </c>
      <c r="Y137" s="53"/>
      <c r="Z137" s="70"/>
    </row>
    <row r="138" spans="1:26" ht="34.200000000000003" x14ac:dyDescent="0.25">
      <c r="A138" s="7" t="s">
        <v>568</v>
      </c>
      <c r="B138" s="23" t="s">
        <v>532</v>
      </c>
      <c r="C138" s="28" t="s">
        <v>533</v>
      </c>
      <c r="D138" s="29" t="s">
        <v>534</v>
      </c>
      <c r="E138" s="49" t="s">
        <v>559</v>
      </c>
      <c r="F138" s="82"/>
      <c r="G138" s="73"/>
      <c r="H138" s="53"/>
      <c r="I138" s="77"/>
      <c r="J138" s="53"/>
      <c r="K138" s="53"/>
      <c r="L138" s="66"/>
      <c r="M138" s="53"/>
      <c r="N138" s="53"/>
      <c r="O138" s="53"/>
      <c r="P138" s="53" t="s">
        <v>41</v>
      </c>
      <c r="Q138" s="69"/>
      <c r="R138" s="53"/>
      <c r="S138" s="69" t="s">
        <v>37</v>
      </c>
      <c r="T138" s="53"/>
      <c r="U138" s="69"/>
      <c r="V138" s="53"/>
      <c r="W138" s="53"/>
      <c r="X138" s="70" t="s">
        <v>101</v>
      </c>
      <c r="Y138" s="53"/>
      <c r="Z138" s="70"/>
    </row>
    <row r="139" spans="1:26" ht="45.6" x14ac:dyDescent="0.25">
      <c r="A139" s="7" t="s">
        <v>569</v>
      </c>
      <c r="B139" s="23" t="s">
        <v>536</v>
      </c>
      <c r="C139" s="28" t="s">
        <v>537</v>
      </c>
      <c r="D139" s="29" t="s">
        <v>538</v>
      </c>
      <c r="E139" s="49" t="s">
        <v>559</v>
      </c>
      <c r="F139" s="82"/>
      <c r="G139" s="74"/>
      <c r="H139" s="53"/>
      <c r="I139" s="77"/>
      <c r="J139" s="53"/>
      <c r="K139" s="53"/>
      <c r="L139" s="66"/>
      <c r="M139" s="53"/>
      <c r="N139" s="53"/>
      <c r="O139" s="53"/>
      <c r="P139" s="53" t="s">
        <v>41</v>
      </c>
      <c r="Q139" s="69"/>
      <c r="R139" s="53"/>
      <c r="S139" s="69" t="s">
        <v>37</v>
      </c>
      <c r="T139" s="53"/>
      <c r="U139" s="69"/>
      <c r="V139" s="53"/>
      <c r="W139" s="53"/>
      <c r="X139" s="70" t="s">
        <v>101</v>
      </c>
      <c r="Y139" s="53"/>
      <c r="Z139" s="70"/>
    </row>
    <row r="140" spans="1:26" ht="22.8" x14ac:dyDescent="0.25">
      <c r="A140" s="7" t="s">
        <v>570</v>
      </c>
      <c r="B140" s="23" t="s">
        <v>540</v>
      </c>
      <c r="C140" s="28" t="s">
        <v>541</v>
      </c>
      <c r="D140" s="29" t="s">
        <v>571</v>
      </c>
      <c r="E140" s="49" t="s">
        <v>559</v>
      </c>
      <c r="F140" s="82"/>
      <c r="G140" s="77"/>
      <c r="H140" s="53"/>
      <c r="I140" s="77"/>
      <c r="J140" s="53"/>
      <c r="K140" s="53"/>
      <c r="L140" s="66"/>
      <c r="M140" s="53"/>
      <c r="N140" s="53"/>
      <c r="O140" s="53"/>
      <c r="P140" s="53" t="s">
        <v>41</v>
      </c>
      <c r="Q140" s="69"/>
      <c r="R140" s="53"/>
      <c r="S140" s="69" t="s">
        <v>37</v>
      </c>
      <c r="T140" s="53"/>
      <c r="U140" s="69"/>
      <c r="V140" s="53"/>
      <c r="W140" s="53"/>
      <c r="X140" s="70" t="s">
        <v>101</v>
      </c>
      <c r="Y140" s="53"/>
      <c r="Z140" s="70"/>
    </row>
    <row r="141" spans="1:26" ht="34.200000000000003" x14ac:dyDescent="0.25">
      <c r="A141" s="7" t="s">
        <v>572</v>
      </c>
      <c r="B141" s="23" t="s">
        <v>573</v>
      </c>
      <c r="C141" s="28" t="s">
        <v>574</v>
      </c>
      <c r="D141" s="29" t="s">
        <v>575</v>
      </c>
      <c r="E141" s="49" t="s">
        <v>559</v>
      </c>
      <c r="F141" s="82"/>
      <c r="G141" s="77"/>
      <c r="H141" s="53"/>
      <c r="I141" s="77"/>
      <c r="J141" s="53"/>
      <c r="K141" s="53"/>
      <c r="L141" s="66"/>
      <c r="M141" s="53"/>
      <c r="N141" s="53"/>
      <c r="O141" s="53"/>
      <c r="P141" s="53" t="s">
        <v>41</v>
      </c>
      <c r="Q141" s="69"/>
      <c r="R141" s="53"/>
      <c r="S141" s="69" t="s">
        <v>37</v>
      </c>
      <c r="T141" s="53"/>
      <c r="U141" s="69"/>
      <c r="V141" s="53"/>
      <c r="W141" s="53"/>
      <c r="X141" s="70" t="s">
        <v>101</v>
      </c>
      <c r="Y141" s="53"/>
      <c r="Z141" s="70"/>
    </row>
    <row r="142" spans="1:26" ht="22.8" x14ac:dyDescent="0.25">
      <c r="A142" s="7" t="s">
        <v>576</v>
      </c>
      <c r="B142" s="23" t="s">
        <v>548</v>
      </c>
      <c r="C142" s="28" t="s">
        <v>549</v>
      </c>
      <c r="D142" s="29" t="s">
        <v>577</v>
      </c>
      <c r="E142" s="49" t="s">
        <v>164</v>
      </c>
      <c r="F142" s="82"/>
      <c r="G142" s="77"/>
      <c r="H142" s="53"/>
      <c r="I142" s="77"/>
      <c r="J142" s="53"/>
      <c r="K142" s="53"/>
      <c r="L142" s="66"/>
      <c r="M142" s="53"/>
      <c r="N142" s="53"/>
      <c r="O142" s="53"/>
      <c r="P142" s="53" t="s">
        <v>41</v>
      </c>
      <c r="Q142" s="69"/>
      <c r="R142" s="53"/>
      <c r="S142" s="69" t="s">
        <v>37</v>
      </c>
      <c r="T142" s="53"/>
      <c r="U142" s="69"/>
      <c r="V142" s="53"/>
      <c r="W142" s="53" t="s">
        <v>101</v>
      </c>
      <c r="X142" s="70" t="s">
        <v>101</v>
      </c>
      <c r="Y142" s="53" t="s">
        <v>101</v>
      </c>
      <c r="Z142" s="70"/>
    </row>
    <row r="143" spans="1:26" ht="34.200000000000003" x14ac:dyDescent="0.25">
      <c r="A143" s="7" t="s">
        <v>578</v>
      </c>
      <c r="B143" s="23" t="s">
        <v>579</v>
      </c>
      <c r="C143" s="28" t="s">
        <v>580</v>
      </c>
      <c r="D143" s="29" t="s">
        <v>581</v>
      </c>
      <c r="E143" s="49" t="s">
        <v>164</v>
      </c>
      <c r="F143" s="82"/>
      <c r="G143" s="77"/>
      <c r="H143" s="53"/>
      <c r="I143" s="77"/>
      <c r="J143" s="53"/>
      <c r="K143" s="53"/>
      <c r="L143" s="66"/>
      <c r="M143" s="53"/>
      <c r="N143" s="53"/>
      <c r="O143" s="53"/>
      <c r="P143" s="53" t="s">
        <v>37</v>
      </c>
      <c r="Q143" s="69"/>
      <c r="R143" s="53"/>
      <c r="S143" s="69" t="s">
        <v>37</v>
      </c>
      <c r="T143" s="53"/>
      <c r="U143" s="69"/>
      <c r="V143" s="53"/>
      <c r="W143" s="53" t="s">
        <v>101</v>
      </c>
      <c r="X143" s="70" t="s">
        <v>101</v>
      </c>
      <c r="Y143" s="53" t="s">
        <v>101</v>
      </c>
      <c r="Z143" s="70"/>
    </row>
    <row r="144" spans="1:26" ht="24" x14ac:dyDescent="0.25">
      <c r="A144" s="42" t="s">
        <v>582</v>
      </c>
      <c r="B144" s="43" t="s">
        <v>583</v>
      </c>
      <c r="C144" s="39" t="s">
        <v>584</v>
      </c>
      <c r="D144" s="40" t="s">
        <v>585</v>
      </c>
      <c r="E144" s="47" t="s">
        <v>586</v>
      </c>
      <c r="F144" s="81"/>
      <c r="G144" s="74"/>
      <c r="H144" s="53"/>
      <c r="I144" s="73"/>
      <c r="J144" s="53"/>
      <c r="K144" s="53"/>
      <c r="L144" s="62"/>
      <c r="M144" s="53"/>
      <c r="N144" s="53"/>
      <c r="O144" s="53"/>
      <c r="P144" s="53"/>
      <c r="Q144" s="62"/>
      <c r="R144" s="53"/>
      <c r="S144" s="62"/>
      <c r="T144" s="53"/>
      <c r="U144" s="62"/>
      <c r="V144" s="53"/>
      <c r="W144" s="53" t="s">
        <v>101</v>
      </c>
      <c r="X144" s="62"/>
      <c r="Y144" s="53" t="s">
        <v>101</v>
      </c>
      <c r="Z144" s="62"/>
    </row>
    <row r="145" spans="1:26" ht="22.8" x14ac:dyDescent="0.25">
      <c r="A145" s="9" t="s">
        <v>587</v>
      </c>
      <c r="B145" s="24" t="s">
        <v>588</v>
      </c>
      <c r="C145" s="35" t="s">
        <v>588</v>
      </c>
      <c r="D145" s="36" t="s">
        <v>588</v>
      </c>
      <c r="E145" s="48" t="s">
        <v>589</v>
      </c>
      <c r="F145" s="82"/>
      <c r="G145" s="77"/>
      <c r="H145" s="53"/>
      <c r="I145" s="74"/>
      <c r="J145" s="53"/>
      <c r="K145" s="53"/>
      <c r="L145" s="63"/>
      <c r="M145" s="53"/>
      <c r="N145" s="53"/>
      <c r="O145" s="53"/>
      <c r="P145" s="53"/>
      <c r="Q145" s="63"/>
      <c r="R145" s="53"/>
      <c r="S145" s="63" t="s">
        <v>37</v>
      </c>
      <c r="T145" s="53"/>
      <c r="U145" s="63"/>
      <c r="V145" s="53"/>
      <c r="W145" s="53" t="s">
        <v>101</v>
      </c>
      <c r="X145" s="63" t="s">
        <v>67</v>
      </c>
      <c r="Y145" s="53" t="s">
        <v>101</v>
      </c>
      <c r="Z145" s="63" t="s">
        <v>101</v>
      </c>
    </row>
    <row r="146" spans="1:26" ht="22.8" x14ac:dyDescent="0.25">
      <c r="A146" s="7" t="s">
        <v>590</v>
      </c>
      <c r="B146" s="23" t="s">
        <v>591</v>
      </c>
      <c r="C146" s="28" t="s">
        <v>591</v>
      </c>
      <c r="D146" s="29" t="s">
        <v>592</v>
      </c>
      <c r="E146" s="49" t="s">
        <v>589</v>
      </c>
      <c r="F146" s="82"/>
      <c r="G146" s="77"/>
      <c r="H146" s="53"/>
      <c r="I146" s="77"/>
      <c r="J146" s="53"/>
      <c r="K146" s="53"/>
      <c r="L146" s="66"/>
      <c r="M146" s="53"/>
      <c r="N146" s="53"/>
      <c r="O146" s="53"/>
      <c r="P146" s="53"/>
      <c r="Q146" s="69"/>
      <c r="R146" s="53"/>
      <c r="S146" s="69" t="s">
        <v>37</v>
      </c>
      <c r="T146" s="53"/>
      <c r="U146" s="69"/>
      <c r="V146" s="53"/>
      <c r="W146" s="53" t="s">
        <v>101</v>
      </c>
      <c r="X146" s="70" t="s">
        <v>101</v>
      </c>
      <c r="Y146" s="53" t="s">
        <v>101</v>
      </c>
      <c r="Z146" s="70"/>
    </row>
    <row r="147" spans="1:26" ht="22.8" x14ac:dyDescent="0.25">
      <c r="A147" s="7" t="s">
        <v>593</v>
      </c>
      <c r="B147" s="23" t="s">
        <v>594</v>
      </c>
      <c r="C147" s="28" t="s">
        <v>595</v>
      </c>
      <c r="D147" s="29" t="s">
        <v>596</v>
      </c>
      <c r="E147" s="49" t="s">
        <v>589</v>
      </c>
      <c r="F147" s="82"/>
      <c r="G147" s="77"/>
      <c r="H147" s="53"/>
      <c r="I147" s="77"/>
      <c r="J147" s="53"/>
      <c r="K147" s="53"/>
      <c r="L147" s="66"/>
      <c r="M147" s="53"/>
      <c r="N147" s="53"/>
      <c r="O147" s="53"/>
      <c r="P147" s="53"/>
      <c r="Q147" s="69"/>
      <c r="R147" s="53"/>
      <c r="S147" s="69" t="s">
        <v>37</v>
      </c>
      <c r="T147" s="53"/>
      <c r="U147" s="69"/>
      <c r="V147" s="53"/>
      <c r="W147" s="53" t="s">
        <v>101</v>
      </c>
      <c r="X147" s="70" t="s">
        <v>67</v>
      </c>
      <c r="Y147" s="53" t="s">
        <v>101</v>
      </c>
      <c r="Z147" s="70" t="s">
        <v>101</v>
      </c>
    </row>
    <row r="148" spans="1:26" ht="57" x14ac:dyDescent="0.25">
      <c r="A148" s="7" t="s">
        <v>597</v>
      </c>
      <c r="B148" s="23" t="s">
        <v>598</v>
      </c>
      <c r="C148" s="28" t="s">
        <v>599</v>
      </c>
      <c r="D148" s="29" t="s">
        <v>600</v>
      </c>
      <c r="E148" s="49" t="s">
        <v>589</v>
      </c>
      <c r="F148" s="82"/>
      <c r="G148" s="77"/>
      <c r="H148" s="53"/>
      <c r="I148" s="77"/>
      <c r="J148" s="53"/>
      <c r="K148" s="53"/>
      <c r="L148" s="66"/>
      <c r="M148" s="53"/>
      <c r="N148" s="53"/>
      <c r="O148" s="53"/>
      <c r="P148" s="53"/>
      <c r="Q148" s="69"/>
      <c r="R148" s="53"/>
      <c r="S148" s="69" t="s">
        <v>37</v>
      </c>
      <c r="T148" s="53"/>
      <c r="U148" s="69"/>
      <c r="V148" s="53"/>
      <c r="W148" s="53" t="s">
        <v>101</v>
      </c>
      <c r="X148" s="70" t="s">
        <v>101</v>
      </c>
      <c r="Y148" s="53" t="s">
        <v>101</v>
      </c>
      <c r="Z148" s="70" t="s">
        <v>101</v>
      </c>
    </row>
    <row r="149" spans="1:26" ht="34.200000000000003" x14ac:dyDescent="0.25">
      <c r="A149" s="7" t="s">
        <v>601</v>
      </c>
      <c r="B149" s="23" t="s">
        <v>602</v>
      </c>
      <c r="C149" s="28" t="s">
        <v>603</v>
      </c>
      <c r="D149" s="29" t="s">
        <v>604</v>
      </c>
      <c r="E149" s="49" t="s">
        <v>589</v>
      </c>
      <c r="F149" s="82"/>
      <c r="G149" s="77"/>
      <c r="H149" s="53"/>
      <c r="I149" s="77"/>
      <c r="J149" s="53"/>
      <c r="K149" s="53"/>
      <c r="L149" s="66"/>
      <c r="M149" s="53"/>
      <c r="N149" s="53"/>
      <c r="O149" s="53"/>
      <c r="P149" s="53"/>
      <c r="Q149" s="69"/>
      <c r="R149" s="53" t="s">
        <v>66</v>
      </c>
      <c r="S149" s="69" t="s">
        <v>37</v>
      </c>
      <c r="T149" s="53"/>
      <c r="U149" s="69"/>
      <c r="V149" s="53"/>
      <c r="W149" s="53" t="s">
        <v>101</v>
      </c>
      <c r="X149" s="70" t="s">
        <v>101</v>
      </c>
      <c r="Y149" s="53" t="s">
        <v>101</v>
      </c>
      <c r="Z149" s="70" t="s">
        <v>101</v>
      </c>
    </row>
    <row r="150" spans="1:26" ht="22.8" x14ac:dyDescent="0.25">
      <c r="A150" s="9" t="s">
        <v>605</v>
      </c>
      <c r="B150" s="24" t="s">
        <v>606</v>
      </c>
      <c r="C150" s="35" t="s">
        <v>606</v>
      </c>
      <c r="D150" s="36" t="s">
        <v>607</v>
      </c>
      <c r="E150" s="48" t="s">
        <v>608</v>
      </c>
      <c r="F150" s="82"/>
      <c r="G150" s="77"/>
      <c r="H150" s="53"/>
      <c r="I150" s="74"/>
      <c r="J150" s="53"/>
      <c r="K150" s="53"/>
      <c r="L150" s="63"/>
      <c r="M150" s="53"/>
      <c r="N150" s="53"/>
      <c r="O150" s="53"/>
      <c r="P150" s="53"/>
      <c r="Q150" s="63"/>
      <c r="R150" s="53"/>
      <c r="S150" s="63" t="s">
        <v>37</v>
      </c>
      <c r="T150" s="53"/>
      <c r="U150" s="63"/>
      <c r="V150" s="53"/>
      <c r="W150" s="53"/>
      <c r="X150" s="63" t="s">
        <v>67</v>
      </c>
      <c r="Y150" s="53"/>
      <c r="Z150" s="63"/>
    </row>
    <row r="151" spans="1:26" ht="22.8" x14ac:dyDescent="0.25">
      <c r="A151" s="7" t="s">
        <v>609</v>
      </c>
      <c r="B151" s="23" t="s">
        <v>610</v>
      </c>
      <c r="C151" s="28" t="s">
        <v>610</v>
      </c>
      <c r="D151" s="29" t="s">
        <v>611</v>
      </c>
      <c r="E151" s="49" t="s">
        <v>608</v>
      </c>
      <c r="F151" s="82"/>
      <c r="G151" s="74"/>
      <c r="H151" s="53"/>
      <c r="I151" s="77"/>
      <c r="J151" s="53"/>
      <c r="K151" s="53"/>
      <c r="L151" s="66"/>
      <c r="M151" s="53"/>
      <c r="N151" s="53"/>
      <c r="O151" s="53"/>
      <c r="P151" s="53" t="s">
        <v>37</v>
      </c>
      <c r="Q151" s="69"/>
      <c r="R151" s="53"/>
      <c r="S151" s="69" t="s">
        <v>37</v>
      </c>
      <c r="T151" s="53"/>
      <c r="U151" s="69"/>
      <c r="V151" s="53"/>
      <c r="W151" s="53"/>
      <c r="X151" s="70" t="s">
        <v>101</v>
      </c>
      <c r="Y151" s="53"/>
      <c r="Z151" s="70"/>
    </row>
    <row r="152" spans="1:26" ht="34.200000000000003" x14ac:dyDescent="0.25">
      <c r="A152" s="7" t="s">
        <v>612</v>
      </c>
      <c r="B152" s="23" t="s">
        <v>613</v>
      </c>
      <c r="C152" s="28" t="s">
        <v>614</v>
      </c>
      <c r="D152" s="29" t="s">
        <v>615</v>
      </c>
      <c r="E152" s="49" t="s">
        <v>608</v>
      </c>
      <c r="F152" s="82"/>
      <c r="G152" s="77"/>
      <c r="H152" s="53"/>
      <c r="I152" s="77"/>
      <c r="J152" s="53"/>
      <c r="K152" s="53"/>
      <c r="L152" s="66"/>
      <c r="M152" s="53"/>
      <c r="N152" s="53"/>
      <c r="O152" s="53"/>
      <c r="P152" s="53" t="s">
        <v>37</v>
      </c>
      <c r="Q152" s="69"/>
      <c r="R152" s="53" t="s">
        <v>41</v>
      </c>
      <c r="S152" s="69" t="s">
        <v>37</v>
      </c>
      <c r="T152" s="53"/>
      <c r="U152" s="69"/>
      <c r="V152" s="53"/>
      <c r="W152" s="53" t="s">
        <v>101</v>
      </c>
      <c r="X152" s="70" t="s">
        <v>101</v>
      </c>
      <c r="Y152" s="53" t="s">
        <v>101</v>
      </c>
      <c r="Z152" s="70"/>
    </row>
    <row r="153" spans="1:26" ht="22.8" x14ac:dyDescent="0.25">
      <c r="A153" s="7" t="s">
        <v>616</v>
      </c>
      <c r="B153" s="23" t="s">
        <v>617</v>
      </c>
      <c r="C153" s="28" t="s">
        <v>618</v>
      </c>
      <c r="D153" s="29" t="s">
        <v>619</v>
      </c>
      <c r="E153" s="49" t="s">
        <v>608</v>
      </c>
      <c r="F153" s="82"/>
      <c r="G153" s="77"/>
      <c r="H153" s="53"/>
      <c r="I153" s="77"/>
      <c r="J153" s="53"/>
      <c r="K153" s="53"/>
      <c r="L153" s="66"/>
      <c r="M153" s="53"/>
      <c r="N153" s="53"/>
      <c r="O153" s="53"/>
      <c r="P153" s="53" t="s">
        <v>37</v>
      </c>
      <c r="Q153" s="69"/>
      <c r="R153" s="53" t="s">
        <v>41</v>
      </c>
      <c r="S153" s="69" t="s">
        <v>37</v>
      </c>
      <c r="T153" s="53"/>
      <c r="U153" s="69"/>
      <c r="V153" s="53"/>
      <c r="W153" s="53" t="s">
        <v>101</v>
      </c>
      <c r="X153" s="70" t="s">
        <v>101</v>
      </c>
      <c r="Y153" s="53" t="s">
        <v>101</v>
      </c>
      <c r="Z153" s="70"/>
    </row>
    <row r="154" spans="1:26" ht="45.6" x14ac:dyDescent="0.25">
      <c r="A154" s="7" t="s">
        <v>620</v>
      </c>
      <c r="B154" s="23" t="s">
        <v>621</v>
      </c>
      <c r="C154" s="28" t="s">
        <v>622</v>
      </c>
      <c r="D154" s="29" t="s">
        <v>623</v>
      </c>
      <c r="E154" s="49" t="s">
        <v>608</v>
      </c>
      <c r="F154" s="82"/>
      <c r="G154" s="77"/>
      <c r="H154" s="53"/>
      <c r="I154" s="77"/>
      <c r="J154" s="53"/>
      <c r="K154" s="53"/>
      <c r="L154" s="66"/>
      <c r="M154" s="53"/>
      <c r="N154" s="53"/>
      <c r="O154" s="53"/>
      <c r="P154" s="53" t="s">
        <v>37</v>
      </c>
      <c r="Q154" s="69"/>
      <c r="R154" s="53" t="s">
        <v>41</v>
      </c>
      <c r="S154" s="69" t="s">
        <v>37</v>
      </c>
      <c r="T154" s="53"/>
      <c r="U154" s="69"/>
      <c r="V154" s="53"/>
      <c r="W154" s="53" t="s">
        <v>101</v>
      </c>
      <c r="X154" s="70" t="s">
        <v>101</v>
      </c>
      <c r="Y154" s="53" t="s">
        <v>101</v>
      </c>
      <c r="Z154" s="70"/>
    </row>
    <row r="155" spans="1:26" ht="22.8" x14ac:dyDescent="0.25">
      <c r="A155" s="7" t="s">
        <v>624</v>
      </c>
      <c r="B155" s="23" t="s">
        <v>625</v>
      </c>
      <c r="C155" s="28" t="s">
        <v>626</v>
      </c>
      <c r="D155" s="29" t="s">
        <v>627</v>
      </c>
      <c r="E155" s="49" t="s">
        <v>608</v>
      </c>
      <c r="F155" s="82"/>
      <c r="G155" s="77"/>
      <c r="H155" s="53"/>
      <c r="I155" s="77"/>
      <c r="J155" s="53"/>
      <c r="K155" s="53"/>
      <c r="L155" s="66"/>
      <c r="M155" s="53"/>
      <c r="N155" s="53"/>
      <c r="O155" s="53"/>
      <c r="P155" s="53" t="s">
        <v>37</v>
      </c>
      <c r="Q155" s="69"/>
      <c r="R155" s="53" t="s">
        <v>41</v>
      </c>
      <c r="S155" s="69" t="s">
        <v>37</v>
      </c>
      <c r="T155" s="53"/>
      <c r="U155" s="69"/>
      <c r="V155" s="53"/>
      <c r="W155" s="53" t="s">
        <v>101</v>
      </c>
      <c r="X155" s="70" t="s">
        <v>67</v>
      </c>
      <c r="Y155" s="53" t="s">
        <v>101</v>
      </c>
      <c r="Z155" s="70" t="s">
        <v>101</v>
      </c>
    </row>
    <row r="156" spans="1:26" ht="22.8" x14ac:dyDescent="0.25">
      <c r="A156" s="7" t="s">
        <v>628</v>
      </c>
      <c r="B156" s="23" t="s">
        <v>629</v>
      </c>
      <c r="C156" s="28" t="s">
        <v>630</v>
      </c>
      <c r="D156" s="29" t="s">
        <v>631</v>
      </c>
      <c r="E156" s="49" t="s">
        <v>608</v>
      </c>
      <c r="F156" s="82"/>
      <c r="G156" s="73"/>
      <c r="H156" s="53"/>
      <c r="I156" s="77"/>
      <c r="J156" s="53"/>
      <c r="K156" s="53"/>
      <c r="L156" s="66"/>
      <c r="M156" s="53"/>
      <c r="N156" s="53"/>
      <c r="O156" s="53"/>
      <c r="P156" s="53" t="s">
        <v>37</v>
      </c>
      <c r="Q156" s="69"/>
      <c r="R156" s="53"/>
      <c r="S156" s="69" t="s">
        <v>37</v>
      </c>
      <c r="T156" s="53"/>
      <c r="U156" s="69"/>
      <c r="V156" s="53"/>
      <c r="W156" s="53"/>
      <c r="X156" s="70" t="s">
        <v>101</v>
      </c>
      <c r="Y156" s="53"/>
      <c r="Z156" s="70"/>
    </row>
    <row r="157" spans="1:26" ht="24" x14ac:dyDescent="0.25">
      <c r="A157" s="9" t="s">
        <v>632</v>
      </c>
      <c r="B157" s="24" t="s">
        <v>633</v>
      </c>
      <c r="C157" s="35" t="s">
        <v>633</v>
      </c>
      <c r="D157" s="36" t="s">
        <v>634</v>
      </c>
      <c r="E157" s="48" t="s">
        <v>635</v>
      </c>
      <c r="F157" s="82"/>
      <c r="G157" s="74"/>
      <c r="H157" s="53"/>
      <c r="I157" s="74" t="s">
        <v>101</v>
      </c>
      <c r="J157" s="53"/>
      <c r="K157" s="53"/>
      <c r="L157" s="63"/>
      <c r="M157" s="53"/>
      <c r="N157" s="53"/>
      <c r="O157" s="53"/>
      <c r="P157" s="53"/>
      <c r="Q157" s="63"/>
      <c r="R157" s="53" t="s">
        <v>66</v>
      </c>
      <c r="S157" s="63" t="s">
        <v>37</v>
      </c>
      <c r="T157" s="53"/>
      <c r="U157" s="63"/>
      <c r="V157" s="53"/>
      <c r="W157" s="53" t="s">
        <v>101</v>
      </c>
      <c r="X157" s="63" t="s">
        <v>67</v>
      </c>
      <c r="Y157" s="53" t="s">
        <v>101</v>
      </c>
      <c r="Z157" s="63" t="s">
        <v>101</v>
      </c>
    </row>
    <row r="158" spans="1:26" ht="22.8" x14ac:dyDescent="0.25">
      <c r="A158" s="7" t="s">
        <v>636</v>
      </c>
      <c r="B158" s="23" t="s">
        <v>637</v>
      </c>
      <c r="C158" s="28" t="s">
        <v>638</v>
      </c>
      <c r="D158" s="29" t="s">
        <v>639</v>
      </c>
      <c r="E158" s="49" t="s">
        <v>635</v>
      </c>
      <c r="F158" s="82"/>
      <c r="G158" s="77"/>
      <c r="H158" s="53" t="s">
        <v>101</v>
      </c>
      <c r="I158" s="77" t="s">
        <v>101</v>
      </c>
      <c r="J158" s="53" t="s">
        <v>101</v>
      </c>
      <c r="K158" s="53"/>
      <c r="L158" s="66"/>
      <c r="M158" s="53"/>
      <c r="N158" s="53"/>
      <c r="O158" s="53"/>
      <c r="P158" s="53" t="s">
        <v>37</v>
      </c>
      <c r="Q158" s="69"/>
      <c r="R158" s="53" t="s">
        <v>66</v>
      </c>
      <c r="S158" s="69" t="s">
        <v>37</v>
      </c>
      <c r="T158" s="53"/>
      <c r="U158" s="69"/>
      <c r="V158" s="53"/>
      <c r="W158" s="53" t="s">
        <v>101</v>
      </c>
      <c r="X158" s="70" t="s">
        <v>67</v>
      </c>
      <c r="Y158" s="53" t="s">
        <v>101</v>
      </c>
      <c r="Z158" s="70" t="s">
        <v>101</v>
      </c>
    </row>
    <row r="159" spans="1:26" ht="22.8" x14ac:dyDescent="0.25">
      <c r="A159" s="7" t="s">
        <v>640</v>
      </c>
      <c r="B159" s="23" t="s">
        <v>641</v>
      </c>
      <c r="C159" s="28" t="s">
        <v>642</v>
      </c>
      <c r="D159" s="29" t="s">
        <v>643</v>
      </c>
      <c r="E159" s="49" t="s">
        <v>635</v>
      </c>
      <c r="F159" s="82"/>
      <c r="G159" s="77"/>
      <c r="H159" s="53"/>
      <c r="I159" s="77" t="s">
        <v>101</v>
      </c>
      <c r="J159" s="53"/>
      <c r="K159" s="53"/>
      <c r="L159" s="66"/>
      <c r="M159" s="53"/>
      <c r="N159" s="53"/>
      <c r="O159" s="53"/>
      <c r="P159" s="53" t="s">
        <v>37</v>
      </c>
      <c r="Q159" s="69"/>
      <c r="R159" s="53" t="s">
        <v>66</v>
      </c>
      <c r="S159" s="69" t="s">
        <v>37</v>
      </c>
      <c r="T159" s="53"/>
      <c r="U159" s="69"/>
      <c r="V159" s="53"/>
      <c r="W159" s="53" t="s">
        <v>101</v>
      </c>
      <c r="X159" s="70" t="s">
        <v>67</v>
      </c>
      <c r="Y159" s="53" t="s">
        <v>101</v>
      </c>
      <c r="Z159" s="70" t="s">
        <v>101</v>
      </c>
    </row>
    <row r="160" spans="1:26" ht="22.8" x14ac:dyDescent="0.25">
      <c r="A160" s="7" t="s">
        <v>644</v>
      </c>
      <c r="B160" s="23" t="s">
        <v>645</v>
      </c>
      <c r="C160" s="28" t="s">
        <v>646</v>
      </c>
      <c r="D160" s="29" t="s">
        <v>647</v>
      </c>
      <c r="E160" s="49" t="s">
        <v>635</v>
      </c>
      <c r="F160" s="82"/>
      <c r="G160" s="74"/>
      <c r="H160" s="53"/>
      <c r="I160" s="77" t="s">
        <v>101</v>
      </c>
      <c r="J160" s="53"/>
      <c r="K160" s="53"/>
      <c r="L160" s="66"/>
      <c r="M160" s="53"/>
      <c r="N160" s="53"/>
      <c r="O160" s="53"/>
      <c r="P160" s="53" t="s">
        <v>37</v>
      </c>
      <c r="Q160" s="69"/>
      <c r="R160" s="53" t="s">
        <v>66</v>
      </c>
      <c r="S160" s="69" t="s">
        <v>37</v>
      </c>
      <c r="T160" s="53"/>
      <c r="U160" s="69"/>
      <c r="V160" s="53"/>
      <c r="W160" s="53" t="s">
        <v>101</v>
      </c>
      <c r="X160" s="70" t="s">
        <v>67</v>
      </c>
      <c r="Y160" s="53" t="s">
        <v>101</v>
      </c>
      <c r="Z160" s="70" t="s">
        <v>101</v>
      </c>
    </row>
    <row r="161" spans="1:26" ht="34.200000000000003" x14ac:dyDescent="0.25">
      <c r="A161" s="7" t="s">
        <v>648</v>
      </c>
      <c r="B161" s="23" t="s">
        <v>649</v>
      </c>
      <c r="C161" s="28" t="s">
        <v>650</v>
      </c>
      <c r="D161" s="29" t="s">
        <v>651</v>
      </c>
      <c r="E161" s="49" t="s">
        <v>635</v>
      </c>
      <c r="F161" s="82"/>
      <c r="G161" s="77"/>
      <c r="H161" s="53"/>
      <c r="I161" s="77" t="s">
        <v>101</v>
      </c>
      <c r="J161" s="53"/>
      <c r="K161" s="53"/>
      <c r="L161" s="66"/>
      <c r="M161" s="53"/>
      <c r="N161" s="53"/>
      <c r="O161" s="53"/>
      <c r="P161" s="53" t="s">
        <v>37</v>
      </c>
      <c r="Q161" s="69"/>
      <c r="R161" s="53" t="s">
        <v>66</v>
      </c>
      <c r="S161" s="69" t="s">
        <v>37</v>
      </c>
      <c r="T161" s="53"/>
      <c r="U161" s="69"/>
      <c r="V161" s="53"/>
      <c r="W161" s="53" t="s">
        <v>101</v>
      </c>
      <c r="X161" s="70" t="s">
        <v>67</v>
      </c>
      <c r="Y161" s="53" t="s">
        <v>101</v>
      </c>
      <c r="Z161" s="70" t="s">
        <v>101</v>
      </c>
    </row>
    <row r="162" spans="1:26" ht="24" x14ac:dyDescent="0.25">
      <c r="A162" s="42" t="s">
        <v>652</v>
      </c>
      <c r="B162" s="43" t="s">
        <v>653</v>
      </c>
      <c r="C162" s="39" t="s">
        <v>654</v>
      </c>
      <c r="D162" s="40" t="s">
        <v>655</v>
      </c>
      <c r="E162" s="47" t="s">
        <v>656</v>
      </c>
      <c r="F162" s="81"/>
      <c r="G162" s="77"/>
      <c r="H162" s="53"/>
      <c r="I162" s="73"/>
      <c r="J162" s="53"/>
      <c r="K162" s="53"/>
      <c r="L162" s="62"/>
      <c r="M162" s="53"/>
      <c r="N162" s="53"/>
      <c r="O162" s="53"/>
      <c r="P162" s="53"/>
      <c r="Q162" s="62"/>
      <c r="R162" s="53" t="s">
        <v>66</v>
      </c>
      <c r="S162" s="62"/>
      <c r="T162" s="53"/>
      <c r="U162" s="62"/>
      <c r="V162" s="53"/>
      <c r="W162" s="53" t="s">
        <v>101</v>
      </c>
      <c r="X162" s="62"/>
      <c r="Y162" s="53" t="s">
        <v>101</v>
      </c>
      <c r="Z162" s="62"/>
    </row>
    <row r="163" spans="1:26" ht="24" x14ac:dyDescent="0.25">
      <c r="A163" s="9" t="s">
        <v>657</v>
      </c>
      <c r="B163" s="24" t="s">
        <v>658</v>
      </c>
      <c r="C163" s="35" t="s">
        <v>659</v>
      </c>
      <c r="D163" s="36" t="s">
        <v>659</v>
      </c>
      <c r="E163" s="48" t="s">
        <v>660</v>
      </c>
      <c r="F163" s="82"/>
      <c r="G163" s="77"/>
      <c r="H163" s="53"/>
      <c r="I163" s="74"/>
      <c r="J163" s="53"/>
      <c r="K163" s="53"/>
      <c r="L163" s="63"/>
      <c r="M163" s="53"/>
      <c r="N163" s="53"/>
      <c r="O163" s="53"/>
      <c r="P163" s="53"/>
      <c r="Q163" s="63"/>
      <c r="R163" s="53"/>
      <c r="S163" s="63" t="s">
        <v>101</v>
      </c>
      <c r="T163" s="53"/>
      <c r="U163" s="63"/>
      <c r="V163" s="53"/>
      <c r="W163" s="53"/>
      <c r="X163" s="63" t="s">
        <v>37</v>
      </c>
      <c r="Y163" s="53"/>
      <c r="Z163" s="63" t="s">
        <v>67</v>
      </c>
    </row>
    <row r="164" spans="1:26" ht="45.6" x14ac:dyDescent="0.25">
      <c r="A164" s="7" t="s">
        <v>661</v>
      </c>
      <c r="B164" s="23" t="s">
        <v>662</v>
      </c>
      <c r="C164" s="28" t="s">
        <v>663</v>
      </c>
      <c r="D164" s="29" t="s">
        <v>664</v>
      </c>
      <c r="E164" s="49" t="s">
        <v>660</v>
      </c>
      <c r="F164" s="82"/>
      <c r="G164" s="74"/>
      <c r="H164" s="53"/>
      <c r="I164" s="77"/>
      <c r="J164" s="53"/>
      <c r="K164" s="53"/>
      <c r="L164" s="66"/>
      <c r="M164" s="53"/>
      <c r="N164" s="53"/>
      <c r="O164" s="53"/>
      <c r="P164" s="53"/>
      <c r="Q164" s="69"/>
      <c r="R164" s="53" t="s">
        <v>66</v>
      </c>
      <c r="S164" s="69"/>
      <c r="T164" s="53"/>
      <c r="U164" s="69"/>
      <c r="V164" s="53"/>
      <c r="W164" s="53" t="s">
        <v>101</v>
      </c>
      <c r="X164" s="70" t="s">
        <v>37</v>
      </c>
      <c r="Y164" s="53" t="s">
        <v>101</v>
      </c>
      <c r="Z164" s="70" t="s">
        <v>67</v>
      </c>
    </row>
    <row r="165" spans="1:26" ht="57" x14ac:dyDescent="0.25">
      <c r="A165" s="7" t="s">
        <v>665</v>
      </c>
      <c r="B165" s="23" t="s">
        <v>666</v>
      </c>
      <c r="C165" s="28" t="s">
        <v>667</v>
      </c>
      <c r="D165" s="29" t="s">
        <v>668</v>
      </c>
      <c r="E165" s="49" t="s">
        <v>660</v>
      </c>
      <c r="F165" s="82"/>
      <c r="G165" s="77"/>
      <c r="H165" s="53"/>
      <c r="I165" s="77"/>
      <c r="J165" s="53"/>
      <c r="K165" s="53"/>
      <c r="L165" s="66"/>
      <c r="M165" s="53"/>
      <c r="N165" s="53"/>
      <c r="O165" s="53"/>
      <c r="P165" s="53"/>
      <c r="Q165" s="69"/>
      <c r="R165" s="53" t="s">
        <v>66</v>
      </c>
      <c r="S165" s="69" t="s">
        <v>101</v>
      </c>
      <c r="T165" s="53"/>
      <c r="U165" s="69"/>
      <c r="V165" s="53"/>
      <c r="W165" s="53" t="s">
        <v>101</v>
      </c>
      <c r="X165" s="70" t="s">
        <v>37</v>
      </c>
      <c r="Y165" s="53" t="s">
        <v>101</v>
      </c>
      <c r="Z165" s="70" t="s">
        <v>67</v>
      </c>
    </row>
    <row r="166" spans="1:26" x14ac:dyDescent="0.25">
      <c r="A166" s="9" t="s">
        <v>669</v>
      </c>
      <c r="B166" s="24" t="s">
        <v>670</v>
      </c>
      <c r="C166" s="35" t="s">
        <v>671</v>
      </c>
      <c r="D166" s="36" t="s">
        <v>672</v>
      </c>
      <c r="E166" s="48" t="s">
        <v>673</v>
      </c>
      <c r="F166" s="82"/>
      <c r="G166" s="74"/>
      <c r="H166" s="53"/>
      <c r="I166" s="74"/>
      <c r="J166" s="53"/>
      <c r="K166" s="53"/>
      <c r="L166" s="63"/>
      <c r="M166" s="53"/>
      <c r="N166" s="53"/>
      <c r="O166" s="53"/>
      <c r="P166" s="53"/>
      <c r="Q166" s="63"/>
      <c r="R166" s="53" t="s">
        <v>66</v>
      </c>
      <c r="S166" s="63" t="s">
        <v>101</v>
      </c>
      <c r="T166" s="53"/>
      <c r="U166" s="63"/>
      <c r="V166" s="53"/>
      <c r="W166" s="53" t="s">
        <v>101</v>
      </c>
      <c r="X166" s="63" t="s">
        <v>66</v>
      </c>
      <c r="Y166" s="53" t="s">
        <v>101</v>
      </c>
      <c r="Z166" s="63" t="s">
        <v>37</v>
      </c>
    </row>
    <row r="167" spans="1:26" ht="22.8" x14ac:dyDescent="0.25">
      <c r="A167" s="7" t="s">
        <v>674</v>
      </c>
      <c r="B167" s="23" t="s">
        <v>675</v>
      </c>
      <c r="C167" s="28" t="s">
        <v>676</v>
      </c>
      <c r="D167" s="29" t="s">
        <v>677</v>
      </c>
      <c r="E167" s="49" t="s">
        <v>678</v>
      </c>
      <c r="F167" s="82"/>
      <c r="G167" s="77"/>
      <c r="H167" s="53"/>
      <c r="I167" s="77"/>
      <c r="J167" s="53"/>
      <c r="K167" s="53"/>
      <c r="L167" s="66"/>
      <c r="M167" s="53"/>
      <c r="N167" s="53"/>
      <c r="O167" s="53"/>
      <c r="P167" s="53"/>
      <c r="Q167" s="69"/>
      <c r="R167" s="53" t="s">
        <v>66</v>
      </c>
      <c r="S167" s="69" t="s">
        <v>101</v>
      </c>
      <c r="T167" s="53"/>
      <c r="U167" s="69"/>
      <c r="V167" s="53"/>
      <c r="W167" s="53" t="s">
        <v>101</v>
      </c>
      <c r="X167" s="70" t="s">
        <v>66</v>
      </c>
      <c r="Y167" s="53" t="s">
        <v>101</v>
      </c>
      <c r="Z167" s="70" t="s">
        <v>37</v>
      </c>
    </row>
    <row r="168" spans="1:26" ht="68.400000000000006" x14ac:dyDescent="0.25">
      <c r="A168" s="7" t="s">
        <v>679</v>
      </c>
      <c r="B168" s="23" t="s">
        <v>680</v>
      </c>
      <c r="C168" s="28" t="s">
        <v>681</v>
      </c>
      <c r="D168" s="29" t="s">
        <v>682</v>
      </c>
      <c r="E168" s="49" t="s">
        <v>683</v>
      </c>
      <c r="F168" s="82"/>
      <c r="G168" s="74"/>
      <c r="H168" s="53"/>
      <c r="I168" s="77"/>
      <c r="J168" s="53"/>
      <c r="K168" s="53"/>
      <c r="L168" s="66"/>
      <c r="M168" s="53"/>
      <c r="N168" s="53"/>
      <c r="O168" s="53"/>
      <c r="P168" s="53"/>
      <c r="Q168" s="69"/>
      <c r="R168" s="53"/>
      <c r="S168" s="69" t="s">
        <v>101</v>
      </c>
      <c r="T168" s="53"/>
      <c r="U168" s="69"/>
      <c r="V168" s="53"/>
      <c r="W168" s="53"/>
      <c r="X168" s="70" t="s">
        <v>66</v>
      </c>
      <c r="Y168" s="53"/>
      <c r="Z168" s="70" t="s">
        <v>37</v>
      </c>
    </row>
    <row r="169" spans="1:26" ht="57" x14ac:dyDescent="0.25">
      <c r="A169" s="7" t="s">
        <v>684</v>
      </c>
      <c r="B169" s="23" t="s">
        <v>685</v>
      </c>
      <c r="C169" s="28" t="s">
        <v>686</v>
      </c>
      <c r="D169" s="29" t="s">
        <v>687</v>
      </c>
      <c r="E169" s="49" t="s">
        <v>688</v>
      </c>
      <c r="F169" s="82"/>
      <c r="G169" s="77"/>
      <c r="H169" s="53"/>
      <c r="I169" s="77"/>
      <c r="J169" s="53"/>
      <c r="K169" s="53"/>
      <c r="L169" s="66"/>
      <c r="M169" s="53"/>
      <c r="N169" s="53"/>
      <c r="O169" s="53"/>
      <c r="P169" s="53"/>
      <c r="Q169" s="69"/>
      <c r="R169" s="53"/>
      <c r="S169" s="69" t="s">
        <v>101</v>
      </c>
      <c r="T169" s="53"/>
      <c r="U169" s="69"/>
      <c r="V169" s="53"/>
      <c r="W169" s="53"/>
      <c r="X169" s="70" t="s">
        <v>37</v>
      </c>
      <c r="Y169" s="53"/>
      <c r="Z169" s="70"/>
    </row>
    <row r="170" spans="1:26" ht="24" x14ac:dyDescent="0.25">
      <c r="A170" s="9" t="s">
        <v>689</v>
      </c>
      <c r="B170" s="24" t="s">
        <v>690</v>
      </c>
      <c r="C170" s="35" t="s">
        <v>690</v>
      </c>
      <c r="D170" s="36" t="s">
        <v>691</v>
      </c>
      <c r="E170" s="48" t="s">
        <v>692</v>
      </c>
      <c r="F170" s="82"/>
      <c r="G170" s="73"/>
      <c r="H170" s="53"/>
      <c r="I170" s="74"/>
      <c r="J170" s="53"/>
      <c r="K170" s="53"/>
      <c r="L170" s="63"/>
      <c r="M170" s="53"/>
      <c r="N170" s="53"/>
      <c r="O170" s="53"/>
      <c r="P170" s="53"/>
      <c r="Q170" s="63"/>
      <c r="R170" s="53"/>
      <c r="S170" s="63" t="s">
        <v>101</v>
      </c>
      <c r="T170" s="53"/>
      <c r="U170" s="63"/>
      <c r="V170" s="53"/>
      <c r="W170" s="53" t="s">
        <v>41</v>
      </c>
      <c r="X170" s="63" t="s">
        <v>37</v>
      </c>
      <c r="Y170" s="53" t="s">
        <v>41</v>
      </c>
      <c r="Z170" s="63" t="s">
        <v>101</v>
      </c>
    </row>
    <row r="171" spans="1:26" ht="57" x14ac:dyDescent="0.25">
      <c r="A171" s="7" t="s">
        <v>693</v>
      </c>
      <c r="B171" s="23" t="s">
        <v>694</v>
      </c>
      <c r="C171" s="28" t="s">
        <v>695</v>
      </c>
      <c r="D171" s="29" t="s">
        <v>696</v>
      </c>
      <c r="E171" s="49" t="s">
        <v>692</v>
      </c>
      <c r="F171" s="82"/>
      <c r="G171" s="74"/>
      <c r="H171" s="53"/>
      <c r="I171" s="77"/>
      <c r="J171" s="53"/>
      <c r="K171" s="53"/>
      <c r="L171" s="66"/>
      <c r="M171" s="53"/>
      <c r="N171" s="53"/>
      <c r="O171" s="53"/>
      <c r="P171" s="53"/>
      <c r="Q171" s="69"/>
      <c r="R171" s="53" t="s">
        <v>101</v>
      </c>
      <c r="S171" s="69" t="s">
        <v>101</v>
      </c>
      <c r="T171" s="53"/>
      <c r="U171" s="69"/>
      <c r="V171" s="53"/>
      <c r="W171" s="53" t="s">
        <v>41</v>
      </c>
      <c r="X171" s="70" t="s">
        <v>37</v>
      </c>
      <c r="Y171" s="53" t="s">
        <v>41</v>
      </c>
      <c r="Z171" s="70" t="s">
        <v>101</v>
      </c>
    </row>
    <row r="172" spans="1:26" ht="24" x14ac:dyDescent="0.25">
      <c r="A172" s="9" t="s">
        <v>697</v>
      </c>
      <c r="B172" s="24" t="s">
        <v>698</v>
      </c>
      <c r="C172" s="35" t="s">
        <v>699</v>
      </c>
      <c r="D172" s="36" t="s">
        <v>700</v>
      </c>
      <c r="E172" s="48" t="s">
        <v>701</v>
      </c>
      <c r="F172" s="82"/>
      <c r="G172" s="77"/>
      <c r="H172" s="53"/>
      <c r="I172" s="74"/>
      <c r="J172" s="53"/>
      <c r="K172" s="53"/>
      <c r="L172" s="63"/>
      <c r="M172" s="53"/>
      <c r="N172" s="53"/>
      <c r="O172" s="53"/>
      <c r="P172" s="53"/>
      <c r="Q172" s="63"/>
      <c r="R172" s="53"/>
      <c r="S172" s="63" t="s">
        <v>101</v>
      </c>
      <c r="T172" s="53"/>
      <c r="U172" s="63"/>
      <c r="V172" s="53"/>
      <c r="W172" s="53"/>
      <c r="X172" s="63" t="s">
        <v>37</v>
      </c>
      <c r="Y172" s="53"/>
      <c r="Z172" s="63" t="s">
        <v>101</v>
      </c>
    </row>
    <row r="173" spans="1:26" ht="45.6" x14ac:dyDescent="0.25">
      <c r="A173" s="7" t="s">
        <v>702</v>
      </c>
      <c r="B173" s="23" t="s">
        <v>703</v>
      </c>
      <c r="C173" s="28" t="s">
        <v>704</v>
      </c>
      <c r="D173" s="29" t="s">
        <v>705</v>
      </c>
      <c r="E173" s="49" t="s">
        <v>701</v>
      </c>
      <c r="F173" s="82"/>
      <c r="G173" s="74"/>
      <c r="H173" s="53"/>
      <c r="I173" s="77"/>
      <c r="J173" s="53"/>
      <c r="K173" s="53"/>
      <c r="L173" s="66"/>
      <c r="M173" s="53"/>
      <c r="N173" s="53"/>
      <c r="O173" s="53"/>
      <c r="P173" s="53"/>
      <c r="Q173" s="69"/>
      <c r="R173" s="53" t="s">
        <v>101</v>
      </c>
      <c r="S173" s="69" t="s">
        <v>101</v>
      </c>
      <c r="T173" s="53"/>
      <c r="U173" s="69"/>
      <c r="V173" s="53"/>
      <c r="W173" s="53" t="s">
        <v>41</v>
      </c>
      <c r="X173" s="70" t="s">
        <v>37</v>
      </c>
      <c r="Y173" s="53" t="s">
        <v>41</v>
      </c>
      <c r="Z173" s="70" t="s">
        <v>101</v>
      </c>
    </row>
    <row r="174" spans="1:26" ht="22.8" x14ac:dyDescent="0.25">
      <c r="A174" s="9" t="s">
        <v>706</v>
      </c>
      <c r="B174" s="24" t="s">
        <v>707</v>
      </c>
      <c r="C174" s="35" t="s">
        <v>707</v>
      </c>
      <c r="D174" s="36" t="s">
        <v>707</v>
      </c>
      <c r="E174" s="48" t="s">
        <v>708</v>
      </c>
      <c r="F174" s="82"/>
      <c r="G174" s="77"/>
      <c r="H174" s="53"/>
      <c r="I174" s="74"/>
      <c r="J174" s="53"/>
      <c r="K174" s="53"/>
      <c r="L174" s="63"/>
      <c r="M174" s="53"/>
      <c r="N174" s="53"/>
      <c r="O174" s="53"/>
      <c r="P174" s="53"/>
      <c r="Q174" s="63"/>
      <c r="R174" s="53" t="s">
        <v>101</v>
      </c>
      <c r="S174" s="63" t="s">
        <v>101</v>
      </c>
      <c r="T174" s="53"/>
      <c r="U174" s="63"/>
      <c r="V174" s="53"/>
      <c r="W174" s="53" t="s">
        <v>41</v>
      </c>
      <c r="X174" s="63" t="s">
        <v>37</v>
      </c>
      <c r="Y174" s="53" t="s">
        <v>41</v>
      </c>
      <c r="Z174" s="63" t="s">
        <v>101</v>
      </c>
    </row>
    <row r="175" spans="1:26" ht="68.400000000000006" x14ac:dyDescent="0.25">
      <c r="A175" s="7" t="s">
        <v>709</v>
      </c>
      <c r="B175" s="23" t="s">
        <v>710</v>
      </c>
      <c r="C175" s="28" t="s">
        <v>711</v>
      </c>
      <c r="D175" s="29" t="s">
        <v>712</v>
      </c>
      <c r="E175" s="49" t="s">
        <v>708</v>
      </c>
      <c r="F175" s="82"/>
      <c r="G175" s="74"/>
      <c r="H175" s="53"/>
      <c r="I175" s="77"/>
      <c r="J175" s="53"/>
      <c r="K175" s="53"/>
      <c r="L175" s="66"/>
      <c r="M175" s="53"/>
      <c r="N175" s="53"/>
      <c r="O175" s="53"/>
      <c r="P175" s="53"/>
      <c r="Q175" s="69"/>
      <c r="R175" s="53" t="s">
        <v>101</v>
      </c>
      <c r="S175" s="69" t="s">
        <v>101</v>
      </c>
      <c r="T175" s="53"/>
      <c r="U175" s="69"/>
      <c r="V175" s="53"/>
      <c r="W175" s="53" t="s">
        <v>41</v>
      </c>
      <c r="X175" s="70" t="s">
        <v>37</v>
      </c>
      <c r="Y175" s="53" t="s">
        <v>41</v>
      </c>
      <c r="Z175" s="70" t="s">
        <v>101</v>
      </c>
    </row>
    <row r="176" spans="1:26" ht="24" x14ac:dyDescent="0.25">
      <c r="A176" s="42" t="s">
        <v>713</v>
      </c>
      <c r="B176" s="43" t="s">
        <v>714</v>
      </c>
      <c r="C176" s="39" t="s">
        <v>715</v>
      </c>
      <c r="D176" s="40" t="s">
        <v>716</v>
      </c>
      <c r="E176" s="47" t="s">
        <v>717</v>
      </c>
      <c r="F176" s="81"/>
      <c r="G176" s="77"/>
      <c r="H176" s="53"/>
      <c r="I176" s="73"/>
      <c r="J176" s="53"/>
      <c r="K176" s="53"/>
      <c r="L176" s="62"/>
      <c r="M176" s="53"/>
      <c r="N176" s="53"/>
      <c r="O176" s="53"/>
      <c r="P176" s="53"/>
      <c r="Q176" s="62"/>
      <c r="R176" s="53"/>
      <c r="S176" s="62"/>
      <c r="T176" s="53"/>
      <c r="U176" s="62"/>
      <c r="V176" s="53"/>
      <c r="W176" s="53"/>
      <c r="X176" s="62"/>
      <c r="Y176" s="53"/>
      <c r="Z176" s="62"/>
    </row>
    <row r="177" spans="1:26" ht="36" x14ac:dyDescent="0.25">
      <c r="A177" s="9" t="s">
        <v>718</v>
      </c>
      <c r="B177" s="24" t="s">
        <v>719</v>
      </c>
      <c r="C177" s="35" t="s">
        <v>719</v>
      </c>
      <c r="D177" s="36" t="s">
        <v>720</v>
      </c>
      <c r="E177" s="48" t="s">
        <v>721</v>
      </c>
      <c r="F177" s="82"/>
      <c r="G177" s="74"/>
      <c r="H177" s="53"/>
      <c r="I177" s="74"/>
      <c r="J177" s="53"/>
      <c r="K177" s="53"/>
      <c r="L177" s="63"/>
      <c r="M177" s="53"/>
      <c r="N177" s="53"/>
      <c r="O177" s="53"/>
      <c r="P177" s="53"/>
      <c r="Q177" s="63"/>
      <c r="R177" s="53" t="s">
        <v>101</v>
      </c>
      <c r="S177" s="63" t="s">
        <v>101</v>
      </c>
      <c r="T177" s="53"/>
      <c r="U177" s="63"/>
      <c r="V177" s="53"/>
      <c r="W177" s="53" t="s">
        <v>41</v>
      </c>
      <c r="X177" s="63" t="s">
        <v>66</v>
      </c>
      <c r="Y177" s="53" t="s">
        <v>41</v>
      </c>
      <c r="Z177" s="63" t="s">
        <v>37</v>
      </c>
    </row>
    <row r="178" spans="1:26" ht="45.6" x14ac:dyDescent="0.25">
      <c r="A178" s="7" t="s">
        <v>722</v>
      </c>
      <c r="B178" s="23" t="s">
        <v>723</v>
      </c>
      <c r="C178" s="28" t="s">
        <v>724</v>
      </c>
      <c r="D178" s="29" t="s">
        <v>725</v>
      </c>
      <c r="E178" s="49" t="s">
        <v>721</v>
      </c>
      <c r="F178" s="82"/>
      <c r="G178" s="77"/>
      <c r="H178" s="53"/>
      <c r="I178" s="77"/>
      <c r="J178" s="53"/>
      <c r="K178" s="53"/>
      <c r="L178" s="66"/>
      <c r="M178" s="53"/>
      <c r="N178" s="53"/>
      <c r="O178" s="53"/>
      <c r="P178" s="53"/>
      <c r="Q178" s="69"/>
      <c r="R178" s="53"/>
      <c r="S178" s="69" t="s">
        <v>101</v>
      </c>
      <c r="T178" s="53"/>
      <c r="U178" s="69"/>
      <c r="V178" s="53"/>
      <c r="W178" s="53"/>
      <c r="X178" s="70" t="s">
        <v>66</v>
      </c>
      <c r="Y178" s="53"/>
      <c r="Z178" s="70" t="s">
        <v>37</v>
      </c>
    </row>
    <row r="179" spans="1:26" ht="24" x14ac:dyDescent="0.25">
      <c r="A179" s="9" t="s">
        <v>726</v>
      </c>
      <c r="B179" s="24" t="s">
        <v>727</v>
      </c>
      <c r="C179" s="35" t="s">
        <v>727</v>
      </c>
      <c r="D179" s="36" t="s">
        <v>728</v>
      </c>
      <c r="E179" s="48" t="s">
        <v>729</v>
      </c>
      <c r="F179" s="82"/>
      <c r="G179" s="77"/>
      <c r="H179" s="53"/>
      <c r="I179" s="74"/>
      <c r="J179" s="53"/>
      <c r="K179" s="53"/>
      <c r="L179" s="63"/>
      <c r="M179" s="53"/>
      <c r="N179" s="53"/>
      <c r="O179" s="53"/>
      <c r="P179" s="53"/>
      <c r="Q179" s="63"/>
      <c r="R179" s="53" t="s">
        <v>101</v>
      </c>
      <c r="S179" s="63" t="s">
        <v>37</v>
      </c>
      <c r="T179" s="53"/>
      <c r="U179" s="63"/>
      <c r="V179" s="53"/>
      <c r="W179" s="53" t="s">
        <v>41</v>
      </c>
      <c r="X179" s="63" t="s">
        <v>101</v>
      </c>
      <c r="Y179" s="53" t="s">
        <v>41</v>
      </c>
      <c r="Z179" s="63"/>
    </row>
    <row r="180" spans="1:26" ht="34.200000000000003" x14ac:dyDescent="0.25">
      <c r="A180" s="7" t="s">
        <v>730</v>
      </c>
      <c r="B180" s="23" t="s">
        <v>731</v>
      </c>
      <c r="C180" s="28" t="s">
        <v>732</v>
      </c>
      <c r="D180" s="29" t="s">
        <v>733</v>
      </c>
      <c r="E180" s="49" t="s">
        <v>729</v>
      </c>
      <c r="F180" s="82"/>
      <c r="G180" s="73"/>
      <c r="H180" s="53"/>
      <c r="I180" s="77"/>
      <c r="J180" s="53"/>
      <c r="K180" s="53"/>
      <c r="L180" s="66"/>
      <c r="M180" s="53"/>
      <c r="N180" s="53"/>
      <c r="O180" s="53"/>
      <c r="P180" s="53"/>
      <c r="Q180" s="69"/>
      <c r="R180" s="53"/>
      <c r="S180" s="69" t="s">
        <v>37</v>
      </c>
      <c r="T180" s="53"/>
      <c r="U180" s="69"/>
      <c r="V180" s="53"/>
      <c r="W180" s="53"/>
      <c r="X180" s="70" t="s">
        <v>101</v>
      </c>
      <c r="Y180" s="53"/>
      <c r="Z180" s="70"/>
    </row>
    <row r="181" spans="1:26" ht="24" x14ac:dyDescent="0.25">
      <c r="A181" s="9" t="s">
        <v>734</v>
      </c>
      <c r="B181" s="24" t="s">
        <v>735</v>
      </c>
      <c r="C181" s="35" t="s">
        <v>736</v>
      </c>
      <c r="D181" s="36" t="s">
        <v>737</v>
      </c>
      <c r="E181" s="48" t="s">
        <v>738</v>
      </c>
      <c r="F181" s="82"/>
      <c r="G181" s="74"/>
      <c r="H181" s="53"/>
      <c r="I181" s="74" t="s">
        <v>101</v>
      </c>
      <c r="J181" s="53"/>
      <c r="K181" s="53"/>
      <c r="L181" s="63"/>
      <c r="M181" s="53"/>
      <c r="N181" s="53"/>
      <c r="O181" s="53"/>
      <c r="P181" s="53"/>
      <c r="Q181" s="63"/>
      <c r="R181" s="53" t="s">
        <v>101</v>
      </c>
      <c r="S181" s="63" t="s">
        <v>37</v>
      </c>
      <c r="T181" s="53"/>
      <c r="U181" s="63"/>
      <c r="V181" s="53"/>
      <c r="W181" s="53" t="s">
        <v>41</v>
      </c>
      <c r="X181" s="63" t="s">
        <v>66</v>
      </c>
      <c r="Y181" s="53" t="s">
        <v>41</v>
      </c>
      <c r="Z181" s="63"/>
    </row>
    <row r="182" spans="1:26" ht="34.200000000000003" x14ac:dyDescent="0.25">
      <c r="A182" s="7" t="s">
        <v>739</v>
      </c>
      <c r="B182" s="23" t="s">
        <v>740</v>
      </c>
      <c r="C182" s="28" t="s">
        <v>741</v>
      </c>
      <c r="D182" s="29" t="s">
        <v>742</v>
      </c>
      <c r="E182" s="49" t="s">
        <v>738</v>
      </c>
      <c r="F182" s="82"/>
      <c r="G182" s="77"/>
      <c r="H182" s="53"/>
      <c r="I182" s="77" t="s">
        <v>101</v>
      </c>
      <c r="J182" s="53" t="s">
        <v>101</v>
      </c>
      <c r="K182" s="53"/>
      <c r="L182" s="66"/>
      <c r="M182" s="53"/>
      <c r="N182" s="53"/>
      <c r="O182" s="53"/>
      <c r="P182" s="53"/>
      <c r="Q182" s="69"/>
      <c r="R182" s="53"/>
      <c r="S182" s="69" t="s">
        <v>37</v>
      </c>
      <c r="T182" s="53"/>
      <c r="U182" s="69"/>
      <c r="V182" s="53"/>
      <c r="W182" s="53"/>
      <c r="X182" s="70" t="s">
        <v>66</v>
      </c>
      <c r="Y182" s="53"/>
      <c r="Z182" s="70"/>
    </row>
    <row r="183" spans="1:26" ht="24" x14ac:dyDescent="0.25">
      <c r="A183" s="9" t="s">
        <v>743</v>
      </c>
      <c r="B183" s="24" t="s">
        <v>744</v>
      </c>
      <c r="C183" s="35" t="s">
        <v>744</v>
      </c>
      <c r="D183" s="36" t="s">
        <v>745</v>
      </c>
      <c r="E183" s="48" t="s">
        <v>746</v>
      </c>
      <c r="F183" s="82"/>
      <c r="G183" s="74"/>
      <c r="H183" s="53"/>
      <c r="I183" s="74" t="s">
        <v>37</v>
      </c>
      <c r="J183" s="53"/>
      <c r="K183" s="53"/>
      <c r="L183" s="63"/>
      <c r="M183" s="53"/>
      <c r="N183" s="53"/>
      <c r="O183" s="53"/>
      <c r="P183" s="53"/>
      <c r="Q183" s="63"/>
      <c r="R183" s="53"/>
      <c r="S183" s="63" t="s">
        <v>101</v>
      </c>
      <c r="T183" s="53"/>
      <c r="U183" s="63"/>
      <c r="V183" s="53"/>
      <c r="W183" s="53"/>
      <c r="X183" s="63" t="s">
        <v>101</v>
      </c>
      <c r="Y183" s="53"/>
      <c r="Z183" s="63"/>
    </row>
    <row r="184" spans="1:26" ht="34.200000000000003" x14ac:dyDescent="0.25">
      <c r="A184" s="7" t="s">
        <v>747</v>
      </c>
      <c r="B184" s="23" t="s">
        <v>748</v>
      </c>
      <c r="C184" s="28" t="s">
        <v>749</v>
      </c>
      <c r="D184" s="29" t="s">
        <v>750</v>
      </c>
      <c r="E184" s="49" t="s">
        <v>746</v>
      </c>
      <c r="F184" s="82"/>
      <c r="G184" s="77"/>
      <c r="H184" s="53"/>
      <c r="I184" s="77" t="s">
        <v>37</v>
      </c>
      <c r="J184" s="53" t="s">
        <v>41</v>
      </c>
      <c r="K184" s="53"/>
      <c r="L184" s="66"/>
      <c r="M184" s="53"/>
      <c r="N184" s="53"/>
      <c r="O184" s="53"/>
      <c r="P184" s="53"/>
      <c r="Q184" s="69"/>
      <c r="R184" s="53" t="s">
        <v>101</v>
      </c>
      <c r="S184" s="69"/>
      <c r="T184" s="53"/>
      <c r="U184" s="69"/>
      <c r="V184" s="53"/>
      <c r="W184" s="53" t="s">
        <v>41</v>
      </c>
      <c r="X184" s="70"/>
      <c r="Y184" s="53" t="s">
        <v>41</v>
      </c>
      <c r="Z184" s="70"/>
    </row>
    <row r="185" spans="1:26" ht="34.200000000000003" x14ac:dyDescent="0.25">
      <c r="A185" s="7" t="s">
        <v>751</v>
      </c>
      <c r="B185" s="23" t="s">
        <v>752</v>
      </c>
      <c r="C185" s="28" t="s">
        <v>753</v>
      </c>
      <c r="D185" s="29" t="s">
        <v>754</v>
      </c>
      <c r="E185" s="49" t="s">
        <v>164</v>
      </c>
      <c r="F185" s="82"/>
      <c r="G185" s="77"/>
      <c r="H185" s="53"/>
      <c r="I185" s="77" t="s">
        <v>37</v>
      </c>
      <c r="J185" s="53" t="s">
        <v>41</v>
      </c>
      <c r="K185" s="53"/>
      <c r="L185" s="66"/>
      <c r="M185" s="53"/>
      <c r="N185" s="53"/>
      <c r="O185" s="53"/>
      <c r="P185" s="53"/>
      <c r="Q185" s="69"/>
      <c r="R185" s="53"/>
      <c r="S185" s="69" t="s">
        <v>101</v>
      </c>
      <c r="T185" s="53"/>
      <c r="U185" s="69"/>
      <c r="V185" s="53"/>
      <c r="W185" s="53"/>
      <c r="X185" s="70" t="s">
        <v>101</v>
      </c>
      <c r="Y185" s="53"/>
      <c r="Z185" s="70"/>
    </row>
    <row r="186" spans="1:26" ht="24" x14ac:dyDescent="0.25">
      <c r="A186" s="42" t="s">
        <v>755</v>
      </c>
      <c r="B186" s="43" t="s">
        <v>756</v>
      </c>
      <c r="C186" s="39" t="s">
        <v>757</v>
      </c>
      <c r="D186" s="40" t="s">
        <v>758</v>
      </c>
      <c r="E186" s="47" t="s">
        <v>759</v>
      </c>
      <c r="F186" s="81"/>
      <c r="G186" s="76"/>
      <c r="H186" s="53"/>
      <c r="I186" s="73"/>
      <c r="J186" s="53"/>
      <c r="K186" s="53"/>
      <c r="L186" s="62"/>
      <c r="M186" s="53"/>
      <c r="N186" s="53"/>
      <c r="O186" s="53"/>
      <c r="P186" s="53"/>
      <c r="Q186" s="62"/>
      <c r="R186" s="53" t="s">
        <v>41</v>
      </c>
      <c r="S186" s="62"/>
      <c r="T186" s="53"/>
      <c r="U186" s="62"/>
      <c r="V186" s="53"/>
      <c r="W186" s="53" t="s">
        <v>101</v>
      </c>
      <c r="X186" s="62"/>
      <c r="Y186" s="53" t="s">
        <v>101</v>
      </c>
      <c r="Z186" s="62"/>
    </row>
    <row r="187" spans="1:26" ht="24" x14ac:dyDescent="0.25">
      <c r="A187" s="9" t="s">
        <v>760</v>
      </c>
      <c r="B187" s="24" t="s">
        <v>761</v>
      </c>
      <c r="C187" s="35" t="s">
        <v>761</v>
      </c>
      <c r="D187" s="36" t="s">
        <v>762</v>
      </c>
      <c r="E187" s="48" t="s">
        <v>763</v>
      </c>
      <c r="F187" s="82"/>
      <c r="G187" s="76"/>
      <c r="H187" s="53"/>
      <c r="I187" s="74" t="s">
        <v>37</v>
      </c>
      <c r="J187" s="53"/>
      <c r="K187" s="53"/>
      <c r="L187" s="63"/>
      <c r="M187" s="53"/>
      <c r="N187" s="53"/>
      <c r="O187" s="53"/>
      <c r="P187" s="53"/>
      <c r="Q187" s="63"/>
      <c r="R187" s="53"/>
      <c r="S187" s="63"/>
      <c r="T187" s="53"/>
      <c r="U187" s="63"/>
      <c r="V187" s="53"/>
      <c r="W187" s="53"/>
      <c r="X187" s="63"/>
      <c r="Y187" s="53"/>
      <c r="Z187" s="63"/>
    </row>
    <row r="188" spans="1:26" ht="57" x14ac:dyDescent="0.25">
      <c r="A188" s="7" t="s">
        <v>764</v>
      </c>
      <c r="B188" s="23" t="s">
        <v>765</v>
      </c>
      <c r="C188" s="28" t="s">
        <v>766</v>
      </c>
      <c r="D188" s="29" t="s">
        <v>767</v>
      </c>
      <c r="E188" s="49" t="s">
        <v>763</v>
      </c>
      <c r="F188" s="82"/>
      <c r="G188" s="76"/>
      <c r="H188" s="53" t="s">
        <v>41</v>
      </c>
      <c r="I188" s="77" t="s">
        <v>37</v>
      </c>
      <c r="J188" s="53"/>
      <c r="K188" s="53"/>
      <c r="L188" s="66"/>
      <c r="M188" s="53"/>
      <c r="N188" s="53"/>
      <c r="O188" s="53"/>
      <c r="P188" s="53"/>
      <c r="Q188" s="69"/>
      <c r="R188" s="53"/>
      <c r="S188" s="69"/>
      <c r="T188" s="53"/>
      <c r="U188" s="69"/>
      <c r="V188" s="53"/>
      <c r="W188" s="53" t="s">
        <v>41</v>
      </c>
      <c r="X188" s="70"/>
      <c r="Y188" s="53" t="s">
        <v>41</v>
      </c>
      <c r="Z188" s="70"/>
    </row>
    <row r="189" spans="1:26" ht="24" x14ac:dyDescent="0.25">
      <c r="A189" s="9" t="s">
        <v>768</v>
      </c>
      <c r="B189" s="24" t="s">
        <v>769</v>
      </c>
      <c r="C189" s="35" t="s">
        <v>769</v>
      </c>
      <c r="D189" s="36" t="s">
        <v>770</v>
      </c>
      <c r="E189" s="48" t="s">
        <v>763</v>
      </c>
      <c r="F189" s="82"/>
      <c r="G189" s="76"/>
      <c r="H189" s="53"/>
      <c r="I189" s="74" t="s">
        <v>37</v>
      </c>
      <c r="J189" s="53"/>
      <c r="K189" s="53"/>
      <c r="L189" s="63"/>
      <c r="M189" s="53"/>
      <c r="N189" s="53"/>
      <c r="O189" s="53"/>
      <c r="P189" s="53"/>
      <c r="Q189" s="63"/>
      <c r="R189" s="53"/>
      <c r="S189" s="63" t="s">
        <v>67</v>
      </c>
      <c r="T189" s="53"/>
      <c r="U189" s="63"/>
      <c r="V189" s="53"/>
      <c r="W189" s="53"/>
      <c r="X189" s="63" t="s">
        <v>67</v>
      </c>
      <c r="Y189" s="53"/>
      <c r="Z189" s="63" t="s">
        <v>101</v>
      </c>
    </row>
    <row r="190" spans="1:26" ht="57" x14ac:dyDescent="0.25">
      <c r="A190" s="7" t="s">
        <v>771</v>
      </c>
      <c r="B190" s="23" t="s">
        <v>772</v>
      </c>
      <c r="C190" s="28" t="s">
        <v>773</v>
      </c>
      <c r="D190" s="29" t="s">
        <v>774</v>
      </c>
      <c r="E190" s="49" t="s">
        <v>164</v>
      </c>
      <c r="F190" s="82"/>
      <c r="G190" s="76"/>
      <c r="H190" s="53" t="s">
        <v>41</v>
      </c>
      <c r="I190" s="77" t="s">
        <v>37</v>
      </c>
      <c r="J190" s="53"/>
      <c r="K190" s="53"/>
      <c r="L190" s="66"/>
      <c r="M190" s="53"/>
      <c r="N190" s="53"/>
      <c r="O190" s="53"/>
      <c r="P190" s="53" t="s">
        <v>67</v>
      </c>
      <c r="Q190" s="69"/>
      <c r="R190" s="53"/>
      <c r="S190" s="69" t="s">
        <v>67</v>
      </c>
      <c r="T190" s="53"/>
      <c r="U190" s="69"/>
      <c r="V190" s="53"/>
      <c r="W190" s="53"/>
      <c r="X190" s="70" t="s">
        <v>67</v>
      </c>
      <c r="Y190" s="53"/>
      <c r="Z190" s="70" t="s">
        <v>101</v>
      </c>
    </row>
    <row r="191" spans="1:26" ht="79.8" x14ac:dyDescent="0.25">
      <c r="A191" s="7" t="s">
        <v>775</v>
      </c>
      <c r="B191" s="23" t="s">
        <v>776</v>
      </c>
      <c r="C191" s="28" t="s">
        <v>777</v>
      </c>
      <c r="D191" s="29" t="s">
        <v>778</v>
      </c>
      <c r="E191" s="49" t="s">
        <v>779</v>
      </c>
      <c r="F191" s="82"/>
      <c r="G191" s="76"/>
      <c r="H191" s="53" t="s">
        <v>41</v>
      </c>
      <c r="I191" s="77" t="s">
        <v>37</v>
      </c>
      <c r="J191" s="53"/>
      <c r="K191" s="53"/>
      <c r="L191" s="66"/>
      <c r="M191" s="53"/>
      <c r="N191" s="53"/>
      <c r="O191" s="53"/>
      <c r="P191" s="53" t="s">
        <v>67</v>
      </c>
      <c r="Q191" s="69"/>
      <c r="R191" s="53" t="s">
        <v>101</v>
      </c>
      <c r="S191" s="69" t="s">
        <v>67</v>
      </c>
      <c r="T191" s="53"/>
      <c r="U191" s="69"/>
      <c r="V191" s="53"/>
      <c r="W191" s="53" t="s">
        <v>101</v>
      </c>
      <c r="X191" s="70" t="s">
        <v>67</v>
      </c>
      <c r="Y191" s="53" t="s">
        <v>101</v>
      </c>
      <c r="Z191" s="70"/>
    </row>
    <row r="192" spans="1:26" x14ac:dyDescent="0.25">
      <c r="G192" s="78"/>
      <c r="H192" s="52"/>
      <c r="I192" s="78"/>
      <c r="J192" s="52"/>
      <c r="K192" s="52"/>
      <c r="L192" s="67"/>
      <c r="M192" s="52"/>
      <c r="N192" s="52"/>
      <c r="O192" s="52"/>
      <c r="P192" s="52"/>
      <c r="Q192" s="67"/>
      <c r="R192" s="52"/>
      <c r="S192" s="67"/>
      <c r="T192" s="52"/>
      <c r="U192" s="67"/>
      <c r="V192" s="52"/>
      <c r="W192" s="52"/>
      <c r="X192" s="67"/>
      <c r="Y192" s="52"/>
      <c r="Z192" s="67"/>
    </row>
  </sheetData>
  <autoFilter ref="A5:Y186" xr:uid="{00000000-0001-0000-0000-000000000000}"/>
  <conditionalFormatting sqref="F6:O191">
    <cfRule type="containsBlanks" dxfId="5" priority="27">
      <formula>LEN(TRIM(F6))=0</formula>
    </cfRule>
    <cfRule type="notContainsBlanks" dxfId="4" priority="35">
      <formula>LEN(TRIM(F6))&gt;0</formula>
    </cfRule>
  </conditionalFormatting>
  <conditionalFormatting sqref="P6:V191">
    <cfRule type="containsBlanks" dxfId="3" priority="29">
      <formula>LEN(TRIM(P6))=0</formula>
    </cfRule>
    <cfRule type="notContainsBlanks" dxfId="2" priority="31">
      <formula>LEN(TRIM(P6))&gt;0</formula>
    </cfRule>
  </conditionalFormatting>
  <conditionalFormatting sqref="W6:Z191">
    <cfRule type="containsBlanks" dxfId="1" priority="30">
      <formula>LEN(TRIM(W6))=0</formula>
    </cfRule>
    <cfRule type="notContainsBlanks" dxfId="0" priority="36">
      <formula>LEN(TRIM(W6))&gt;0</formula>
    </cfRule>
  </conditionalFormatting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&amp;L&amp;G</oddHeader>
    <oddFooter>&amp;L&amp;P
www.KoncepceBIM.cz&amp;RPříloha B - Podrobná matice odpovědností</oddFooter>
  </headerFooter>
  <legacy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351040-a7a6-4c2d-a8c5-8e82097712a6" xsi:nil="true"/>
    <lcf76f155ced4ddcb4097134ff3c332f xmlns="48b746f1-b314-4eb1-99d1-d36e21f31bc3">
      <Terms xmlns="http://schemas.microsoft.com/office/infopath/2007/PartnerControls"/>
    </lcf76f155ced4ddcb4097134ff3c332f>
    <typ xmlns="48b746f1-b314-4eb1-99d1-d36e21f31bc3" xsi:nil="true"/>
    <_x010d__x00ed_slo xmlns="48b746f1-b314-4eb1-99d1-d36e21f31bc3" xsi:nil="true"/>
    <Pov_x011b__x0159_en_x00fd_ xmlns="48b746f1-b314-4eb1-99d1-d36e21f31bc3">
      <UserInfo>
        <DisplayName/>
        <AccountId xsi:nil="true"/>
        <AccountType/>
      </UserInfo>
    </Pov_x011b__x0159_en_x00fd_>
    <Status xmlns="48b746f1-b314-4eb1-99d1-d36e21f31bc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585F688DEB1347A3B5B5B8C00EFC19" ma:contentTypeVersion="23" ma:contentTypeDescription="Vytvoří nový dokument" ma:contentTypeScope="" ma:versionID="948492b1ee3f456b1d5a5e92045a9601">
  <xsd:schema xmlns:xsd="http://www.w3.org/2001/XMLSchema" xmlns:xs="http://www.w3.org/2001/XMLSchema" xmlns:p="http://schemas.microsoft.com/office/2006/metadata/properties" xmlns:ns2="48b746f1-b314-4eb1-99d1-d36e21f31bc3" xmlns:ns3="26351040-a7a6-4c2d-a8c5-8e82097712a6" targetNamespace="http://schemas.microsoft.com/office/2006/metadata/properties" ma:root="true" ma:fieldsID="421727d7026b2581477b2034ccb524ed" ns2:_="" ns3:_="">
    <xsd:import namespace="48b746f1-b314-4eb1-99d1-d36e21f31bc3"/>
    <xsd:import namespace="26351040-a7a6-4c2d-a8c5-8e82097712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typ" minOccurs="0"/>
                <xsd:element ref="ns2:_x010d__x00ed_slo" minOccurs="0"/>
                <xsd:element ref="ns2:Pov_x011b__x0159_en_x00fd_" minOccurs="0"/>
                <xsd:element ref="ns2:MediaServiceObjectDetectorVersions" minOccurs="0"/>
                <xsd:element ref="ns2:MediaServiceSearchProperties" minOccurs="0"/>
                <xsd:element ref="ns2: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746f1-b314-4eb1-99d1-d36e21f31b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Značky obrázků" ma:readOnly="false" ma:fieldId="{5cf76f15-5ced-4ddc-b409-7134ff3c332f}" ma:taxonomyMulti="true" ma:sspId="6eb6d8f8-6ffe-47b8-9d4e-b916c3b43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typ" ma:index="24" nillable="true" ma:displayName="typ" ma:format="Dropdown" ma:internalName="typ">
      <xsd:simpleType>
        <xsd:restriction base="dms:Choice">
          <xsd:enumeration value="Volba 1"/>
          <xsd:enumeration value="Volba 2"/>
          <xsd:enumeration value="Volba 3"/>
        </xsd:restriction>
      </xsd:simpleType>
    </xsd:element>
    <xsd:element name="_x010d__x00ed_slo" ma:index="25" nillable="true" ma:displayName="číslo" ma:format="Dropdown" ma:internalName="_x010d__x00ed_slo" ma:percentage="FALSE">
      <xsd:simpleType>
        <xsd:restriction base="dms:Number"/>
      </xsd:simpleType>
    </xsd:element>
    <xsd:element name="Pov_x011b__x0159_en_x00fd_" ma:index="26" nillable="true" ma:displayName="Pověřený" ma:format="Dropdown" ma:list="UserInfo" ma:SharePointGroup="0" ma:internalName="Pov_x011b__x0159_en_x00fd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9" nillable="true" ma:displayName="Status" ma:format="Dropdown" ma:internalName="Status">
      <xsd:simpleType>
        <xsd:union memberTypes="dms:Text">
          <xsd:simpleType>
            <xsd:restriction base="dms:Choice">
              <xsd:enumeration value="S1"/>
              <xsd:enumeration value="S2"/>
              <xsd:enumeration value="S3"/>
            </xsd:restriction>
          </xsd:simpleType>
        </xsd:un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51040-a7a6-4c2d-a8c5-8e82097712a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c4ea11a-7f3d-47d4-a5c4-ce67933804fb}" ma:internalName="TaxCatchAll" ma:showField="CatchAllData" ma:web="26351040-a7a6-4c2d-a8c5-8e82097712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D638CD-A2A0-4241-87A1-C96B93D657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169D50-B6E2-44F9-8C13-65D6DDAC5B76}">
  <ds:schemaRefs>
    <ds:schemaRef ds:uri="http://schemas.microsoft.com/office/2006/metadata/properties"/>
    <ds:schemaRef ds:uri="http://schemas.microsoft.com/office/infopath/2007/PartnerControls"/>
    <ds:schemaRef ds:uri="26351040-a7a6-4c2d-a8c5-8e82097712a6"/>
    <ds:schemaRef ds:uri="48b746f1-b314-4eb1-99d1-d36e21f31bc3"/>
  </ds:schemaRefs>
</ds:datastoreItem>
</file>

<file path=customXml/itemProps3.xml><?xml version="1.0" encoding="utf-8"?>
<ds:datastoreItem xmlns:ds="http://schemas.openxmlformats.org/officeDocument/2006/customXml" ds:itemID="{AFA6E96E-6B10-4FF1-91C6-CD143AADDE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b746f1-b314-4eb1-99d1-d36e21f31bc3"/>
    <ds:schemaRef ds:uri="26351040-a7a6-4c2d-a8c5-8e82097712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2</vt:i4>
      </vt:variant>
    </vt:vector>
  </HeadingPairs>
  <TitlesOfParts>
    <vt:vector size="3" baseType="lpstr">
      <vt:lpstr>Matice přiřazení mgmt inf</vt:lpstr>
      <vt:lpstr>'Matice přiřazení mgmt inf'!Názvy_tisku</vt:lpstr>
      <vt:lpstr>'Matice přiřazení mgmt inf'!Oblast_tisku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 Smolík</dc:creator>
  <cp:keywords/>
  <dc:description/>
  <cp:lastModifiedBy>Samuel Augustín</cp:lastModifiedBy>
  <cp:revision/>
  <dcterms:created xsi:type="dcterms:W3CDTF">2022-11-07T15:19:32Z</dcterms:created>
  <dcterms:modified xsi:type="dcterms:W3CDTF">2026-03-26T14:48:54Z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0x010100CB585F688DEB1347A3B5B5B8C00EFC19</vt:lpwstr>
  </property>
  <property fmtid="{D5CDD505-2E9C-101B-9397-08002B2CF9AE}" pid="3" name="MediaServiceImageTags">
    <vt:lpwstr/>
  </property>
</Properties>
</file>